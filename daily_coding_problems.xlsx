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89D3E92E-490F-4B48-AAF4-B0DFD4996F34}"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<sst xmlns="http://schemas.openxmlformats.org/spreadsheetml/2006/main" count="5446" uniqueCount="856">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</sst>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zoomScale="86" workbookViewId="0">
      <pane ySplit="1" topLeftCell="A8" activePane="bottomLeft" state="frozen"/>
      <selection pane="bottomLeft" activeCell="F17" sqref="F17"/>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19</v>
      </c>
      <c r="O50">
        <f t="shared" si="0"/>
        <v>0</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c r="M73" s="5"/>
      <c r="N73" s="5"/>
      <c r="O73">
        <f t="shared" si="1"/>
        <v>5</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19</v>
      </c>
      <c r="O81">
        <f t="shared" si="1"/>
        <v>0</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19</v>
      </c>
      <c r="D3">
        <f>COUNTIFS(Problems!B:B,"Easy",Problems!F:F,"Not Started")</f>
        <v>337</v>
      </c>
      <c r="E3" s="4">
        <f>IF(B3&gt;0,C3/B3,0)</f>
        <v>5.3370786516853931E-2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21</v>
      </c>
      <c r="D6">
        <f>SUM(D3:D5)</f>
        <v>1062</v>
      </c>
      <c r="E6" s="4">
        <f>IF(B6&gt;0,C6/B6,0)</f>
        <v>1.9390581717451522E-2</v>
      </c>
    </row>
    <row r="8" spans="1:5" ht="16" customHeight="1" x14ac:dyDescent="0.2"/>
    <row r="9" spans="1:5" x14ac:dyDescent="0.2">
      <c r="A9" s="6" t="s">
        <v>855</v>
      </c>
      <c r="B9" s="6" t="s">
        <v>852</v>
      </c>
      <c r="C9" s="6" t="s">
        <v>853</v>
      </c>
    </row>
    <row r="10" spans="1:5" x14ac:dyDescent="0.2">
      <c r="A10" t="s">
        <v>6</v>
      </c>
      <c r="B10">
        <f>COUNTA(Problems[Python])</f>
        <v>14</v>
      </c>
      <c r="C10" s="7">
        <f t="shared" ref="C10:C18" si="0">B10/$B$18</f>
        <v>0.27450980392156865</v>
      </c>
    </row>
    <row r="11" spans="1:5" x14ac:dyDescent="0.2">
      <c r="A11" t="s">
        <v>10</v>
      </c>
      <c r="B11">
        <f>COUNTA(Problems[C++])</f>
        <v>4</v>
      </c>
      <c r="C11" s="7">
        <f t="shared" si="0"/>
        <v>7.8431372549019607E-2</v>
      </c>
    </row>
    <row r="12" spans="1:5" x14ac:dyDescent="0.2">
      <c r="A12" t="s">
        <v>9</v>
      </c>
      <c r="B12">
        <f>COUNTA(Problems[Rust])</f>
        <v>21</v>
      </c>
      <c r="C12" s="7">
        <f t="shared" si="0"/>
        <v>0.41176470588235292</v>
      </c>
    </row>
    <row r="13" spans="1:5" x14ac:dyDescent="0.2">
      <c r="A13" t="s">
        <v>8</v>
      </c>
      <c r="B13">
        <f>COUNTA(Problems[TypeScript])</f>
        <v>3</v>
      </c>
      <c r="C13" s="7">
        <f t="shared" si="0"/>
        <v>5.8823529411764705E-2</v>
      </c>
    </row>
    <row r="14" spans="1:5" x14ac:dyDescent="0.2">
      <c r="A14" t="s">
        <v>7</v>
      </c>
      <c r="B14">
        <f>COUNTA(Problems[JavaScript])</f>
        <v>5</v>
      </c>
      <c r="C14" s="7">
        <f t="shared" si="0"/>
        <v>9.8039215686274508E-2</v>
      </c>
    </row>
    <row r="15" spans="1:5" x14ac:dyDescent="0.2">
      <c r="A15" t="s">
        <v>13</v>
      </c>
      <c r="B15">
        <f>COUNTA(Problems[Bash])</f>
        <v>1</v>
      </c>
      <c r="C15" s="7">
        <f t="shared" si="0"/>
        <v>1.9607843137254902E-2</v>
      </c>
    </row>
    <row r="16" spans="1:5" x14ac:dyDescent="0.2">
      <c r="A16" t="s">
        <v>11</v>
      </c>
      <c r="B16">
        <f>COUNTA(Problems[C])</f>
        <v>1</v>
      </c>
      <c r="C16" s="7">
        <f t="shared" si="0"/>
        <v>1.9607843137254902E-2</v>
      </c>
    </row>
    <row r="17" spans="1:3" ht="16" customHeight="1" x14ac:dyDescent="0.2">
      <c r="A17" t="s">
        <v>12</v>
      </c>
      <c r="B17">
        <f>COUNTA(Problems[Java])</f>
        <v>2</v>
      </c>
      <c r="C17" s="7">
        <f t="shared" si="0"/>
        <v>3.9215686274509803E-2</v>
      </c>
    </row>
    <row r="18" spans="1:3" x14ac:dyDescent="0.2">
      <c r="A18" s="6" t="s">
        <v>852</v>
      </c>
      <c r="B18">
        <f>SUM(B10:B17)</f>
        <v>51</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2026-01-14T18:52:20Z</dcterms:modified>
</cp:coreProperties>
</file>