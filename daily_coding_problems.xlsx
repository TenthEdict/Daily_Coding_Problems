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6F07A729-0EF8-424E-9324-9329B3C2A6A6}" xr6:coauthVersionLast="47" xr6:coauthVersionMax="47" xr10:uidLastSave="{00000000-0000-0000-0000-000000000000}"/>
  <bookViews>
    <workbookView xWindow="0" yWindow="600" windowWidth="38400" windowHeight="2100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<sst xmlns="http://schemas.openxmlformats.org/spreadsheetml/2006/main" count="5446" uniqueCount="856">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</sst>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zoomScale="86" workbookViewId="0">
      <pane ySplit="1" topLeftCell="A7" activePane="bottomLeft" state="frozen"/>
      <selection pane="bottomLeft" activeCell="F49" sqref="F49"/>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19</v>
      </c>
      <c r="O16">
        <f t="shared" si="0"/>
        <v>0</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hidden="1" x14ac:dyDescent="0.2">
      <c r="A21">
        <v>21</v>
      </c>
      <c r="B21" t="s">
        <v>35</v>
      </c>
      <c r="C21" t="s">
        <v>66</v>
      </c>
      <c r="D21" t="s">
        <v>67</v>
      </c>
      <c r="E21" s="1" t="s">
        <v>68</v>
      </c>
      <c r="F21" t="s">
        <v>19</v>
      </c>
      <c r="O21">
        <f t="shared" si="0"/>
        <v>0</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19</v>
      </c>
      <c r="O50">
        <f t="shared" si="0"/>
        <v>0</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19</v>
      </c>
      <c r="O53">
        <f t="shared" si="0"/>
        <v>0</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c r="J73" s="5">
        <v>46023</v>
      </c>
      <c r="K73" s="5">
        <v>46029</v>
      </c>
      <c r="L73" s="5"/>
      <c r="M73" s="5"/>
      <c r="N73" s="5"/>
      <c r="O73">
        <f t="shared" si="1"/>
        <v>4</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hidden="1" x14ac:dyDescent="0.2">
      <c r="A77">
        <v>77</v>
      </c>
      <c r="B77" t="s">
        <v>35</v>
      </c>
      <c r="C77" t="s">
        <v>66</v>
      </c>
      <c r="D77" t="s">
        <v>184</v>
      </c>
      <c r="E77" s="1" t="s">
        <v>185</v>
      </c>
      <c r="F77" t="s">
        <v>19</v>
      </c>
      <c r="O77">
        <f t="shared" si="1"/>
        <v>0</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19</v>
      </c>
      <c r="O81">
        <f t="shared" si="1"/>
        <v>0</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19</v>
      </c>
      <c r="O93">
        <f t="shared" si="1"/>
        <v>0</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15</v>
      </c>
      <c r="D3">
        <f>COUNTIFS(Problems!B:B,"Easy",Problems!F:F,"Not Started")</f>
        <v>341</v>
      </c>
      <c r="E3" s="4">
        <f>IF(B3&gt;0,C3/B3,0)</f>
        <v>4.2134831460674156E-2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17</v>
      </c>
      <c r="D6">
        <f>SUM(D3:D5)</f>
        <v>1066</v>
      </c>
      <c r="E6" s="4">
        <f>IF(B6&gt;0,C6/B6,0)</f>
        <v>1.569713758079409E-2</v>
      </c>
    </row>
    <row r="8" spans="1:5" ht="16" customHeight="1" x14ac:dyDescent="0.2"/>
    <row r="9" spans="1:5" x14ac:dyDescent="0.2">
      <c r="A9" s="6" t="s">
        <v>855</v>
      </c>
      <c r="B9" s="6" t="s">
        <v>852</v>
      </c>
      <c r="C9" s="6" t="s">
        <v>853</v>
      </c>
    </row>
    <row r="10" spans="1:5" x14ac:dyDescent="0.2">
      <c r="A10" t="s">
        <v>6</v>
      </c>
      <c r="B10">
        <f>COUNTA(Problems[Python])</f>
        <v>12</v>
      </c>
      <c r="C10" s="7">
        <f t="shared" ref="C10:C18" si="0">B10/$B$18</f>
        <v>0.27272727272727271</v>
      </c>
    </row>
    <row r="11" spans="1:5" x14ac:dyDescent="0.2">
      <c r="A11" t="s">
        <v>10</v>
      </c>
      <c r="B11">
        <f>COUNTA(Problems[C++])</f>
        <v>4</v>
      </c>
      <c r="C11" s="7">
        <f t="shared" si="0"/>
        <v>9.0909090909090912E-2</v>
      </c>
    </row>
    <row r="12" spans="1:5" x14ac:dyDescent="0.2">
      <c r="A12" t="s">
        <v>9</v>
      </c>
      <c r="B12">
        <f>COUNTA(Problems[Rust])</f>
        <v>17</v>
      </c>
      <c r="C12" s="7">
        <f t="shared" si="0"/>
        <v>0.38636363636363635</v>
      </c>
    </row>
    <row r="13" spans="1:5" x14ac:dyDescent="0.2">
      <c r="A13" t="s">
        <v>8</v>
      </c>
      <c r="B13">
        <f>COUNTA(Problems[TypeScript])</f>
        <v>2</v>
      </c>
      <c r="C13" s="7">
        <f t="shared" si="0"/>
        <v>4.5454545454545456E-2</v>
      </c>
    </row>
    <row r="14" spans="1:5" x14ac:dyDescent="0.2">
      <c r="A14" t="s">
        <v>7</v>
      </c>
      <c r="B14">
        <f>COUNTA(Problems[JavaScript])</f>
        <v>5</v>
      </c>
      <c r="C14" s="7">
        <f t="shared" si="0"/>
        <v>0.11363636363636363</v>
      </c>
    </row>
    <row r="15" spans="1:5" x14ac:dyDescent="0.2">
      <c r="A15" t="s">
        <v>13</v>
      </c>
      <c r="B15">
        <f>COUNTA(Problems[Bash])</f>
        <v>1</v>
      </c>
      <c r="C15" s="7">
        <f t="shared" si="0"/>
        <v>2.2727272727272728E-2</v>
      </c>
    </row>
    <row r="16" spans="1:5" x14ac:dyDescent="0.2">
      <c r="A16" t="s">
        <v>11</v>
      </c>
      <c r="B16">
        <f>COUNTA(Problems[C])</f>
        <v>1</v>
      </c>
      <c r="C16" s="7">
        <f t="shared" si="0"/>
        <v>2.2727272727272728E-2</v>
      </c>
    </row>
    <row r="17" spans="1:3" ht="16" customHeight="1" x14ac:dyDescent="0.2">
      <c r="A17" t="s">
        <v>12</v>
      </c>
      <c r="B17">
        <f>COUNTA(Problems[Java])</f>
        <v>2</v>
      </c>
      <c r="C17" s="7">
        <f t="shared" si="0"/>
        <v>4.5454545454545456E-2</v>
      </c>
    </row>
    <row r="18" spans="1:3" x14ac:dyDescent="0.2">
      <c r="A18" s="6" t="s">
        <v>852</v>
      </c>
      <c r="B18">
        <f>SUM(B10:B17)</f>
        <v>44</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2026-01-10T22:23:20Z</dcterms:modified>
</cp:coreProperties>
</file>