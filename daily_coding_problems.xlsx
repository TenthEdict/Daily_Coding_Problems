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C8995B32-6FAA-9A4F-889A-62807FE31BBA}"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<sst xmlns="http://schemas.openxmlformats.org/spreadsheetml/2006/main" count="5446" uniqueCount="856">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</sst>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Not Start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workbookViewId="0">
      <pane ySplit="1" topLeftCell="A25" activePane="bottomLeft" state="frozen"/>
      <selection pane="bottomLeft" activeCell="F30" sqref="F30"/>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x14ac:dyDescent="0.2">
      <c r="A7">
        <v>7</v>
      </c>
      <c r="B7" t="s">
        <v>20</v>
      </c>
      <c r="C7" t="s">
        <v>32</v>
      </c>
      <c r="D7" t="s">
        <v>33</v>
      </c>
      <c r="E7" s="1" t="s">
        <v>34</v>
      </c>
      <c r="F7" t="s">
        <v>19</v>
      </c>
      <c r="O7">
        <f t="shared" si="0"/>
        <v>0</v>
      </c>
    </row>
    <row r="8" spans="1:15" ht="64" hidden="1"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19</v>
      </c>
      <c r="O16">
        <f t="shared" si="0"/>
        <v>0</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19</v>
      </c>
      <c r="O21">
        <f t="shared" si="0"/>
        <v>0</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hidden="1"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19</v>
      </c>
      <c r="O37">
        <f t="shared" si="0"/>
        <v>0</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hidden="1"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hidden="1" x14ac:dyDescent="0.2">
      <c r="A47">
        <v>47</v>
      </c>
      <c r="B47" t="s">
        <v>35</v>
      </c>
      <c r="C47" t="s">
        <v>32</v>
      </c>
      <c r="D47" t="s">
        <v>124</v>
      </c>
      <c r="E47" s="1" t="s">
        <v>125</v>
      </c>
      <c r="F47" t="s">
        <v>82</v>
      </c>
      <c r="G47" s="5">
        <v>46029</v>
      </c>
      <c r="J47" s="5">
        <v>46029</v>
      </c>
      <c r="K47" s="5"/>
      <c r="O47">
        <f t="shared" si="0"/>
        <v>2</v>
      </c>
    </row>
    <row r="48" spans="1:15" ht="64" x14ac:dyDescent="0.2">
      <c r="A48">
        <v>48</v>
      </c>
      <c r="B48" t="s">
        <v>20</v>
      </c>
      <c r="C48" t="s">
        <v>21</v>
      </c>
      <c r="D48" t="s">
        <v>126</v>
      </c>
      <c r="E48" s="1" t="s">
        <v>127</v>
      </c>
      <c r="F48" t="s">
        <v>19</v>
      </c>
      <c r="O48">
        <f t="shared" si="0"/>
        <v>0</v>
      </c>
    </row>
    <row r="49" spans="1:15" ht="80" hidden="1"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19</v>
      </c>
      <c r="O50">
        <f t="shared" si="0"/>
        <v>0</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hidden="1"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hidden="1" x14ac:dyDescent="0.2">
      <c r="A73">
        <v>73</v>
      </c>
      <c r="B73" t="s">
        <v>35</v>
      </c>
      <c r="C73" t="s">
        <v>21</v>
      </c>
      <c r="D73" t="s">
        <v>177</v>
      </c>
      <c r="E73" s="1" t="s">
        <v>177</v>
      </c>
      <c r="F73" t="s">
        <v>82</v>
      </c>
      <c r="G73" s="5">
        <v>46024</v>
      </c>
      <c r="H73" s="5"/>
      <c r="I73" s="5"/>
      <c r="J73" s="5">
        <v>46023</v>
      </c>
      <c r="K73" s="5">
        <v>46029</v>
      </c>
      <c r="L73" s="5"/>
      <c r="M73" s="5"/>
      <c r="N73" s="5"/>
      <c r="O73">
        <f t="shared" si="1"/>
        <v>3</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19</v>
      </c>
      <c r="O77">
        <f t="shared" si="1"/>
        <v>0</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19</v>
      </c>
      <c r="O81">
        <f t="shared" si="1"/>
        <v>0</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19</v>
      </c>
      <c r="O93">
        <f t="shared" si="1"/>
        <v>0</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hidden="1"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hidden="1"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hidden="1"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hidden="1"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hidden="1"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hidden="1"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89"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hidden="1"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workbookViewId="0">
      <selection activeCell="G10" sqref="G1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14</v>
      </c>
      <c r="D3">
        <f>COUNTIFS(Problems!B:B,"Easy",Problems!F:F,"Not Started")</f>
        <v>342</v>
      </c>
      <c r="E3" s="4">
        <f>IF(B3&gt;0,C3/B3,0)</f>
        <v>3.9325842696629212E-2</v>
      </c>
    </row>
    <row r="4" spans="1:5" x14ac:dyDescent="0.2">
      <c r="A4" t="s">
        <v>20</v>
      </c>
      <c r="B4">
        <f>COUNTIF(Problems!B:B,"Medium")</f>
        <v>446</v>
      </c>
      <c r="C4">
        <f>COUNTIFS(Problems!B:B,"Medium",Problems!F:F,"Solved")</f>
        <v>1</v>
      </c>
      <c r="D4">
        <f>COUNTIFS(Problems!B:B,"Medium",Problems!F:F,"Not Started")</f>
        <v>445</v>
      </c>
      <c r="E4" s="4">
        <f>IF(B4&gt;0,C4/B4,0)</f>
        <v>2.242152466367713E-3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15</v>
      </c>
      <c r="D6">
        <f>SUM(D3:D5)</f>
        <v>1068</v>
      </c>
      <c r="E6" s="4">
        <f>IF(B6&gt;0,C6/B6,0)</f>
        <v>1.3850415512465374E-2</v>
      </c>
    </row>
    <row r="8" spans="1:5" ht="16" customHeight="1" x14ac:dyDescent="0.2"/>
    <row r="9" spans="1:5" x14ac:dyDescent="0.2">
      <c r="A9" s="6" t="s">
        <v>855</v>
      </c>
      <c r="B9" s="6" t="s">
        <v>852</v>
      </c>
      <c r="C9" s="6" t="s">
        <v>853</v>
      </c>
    </row>
    <row r="10" spans="1:5" x14ac:dyDescent="0.2">
      <c r="A10" t="s">
        <v>6</v>
      </c>
      <c r="B10">
        <f>COUNTA(Problems[Python])</f>
        <v>10</v>
      </c>
      <c r="C10" s="7">
        <f t="shared" ref="C10:C18" si="0">B10/$B$18</f>
        <v>0.26315789473684209</v>
      </c>
    </row>
    <row r="11" spans="1:5" x14ac:dyDescent="0.2">
      <c r="A11" t="s">
        <v>10</v>
      </c>
      <c r="B11">
        <f>COUNTA(Problems[C++])</f>
        <v>4</v>
      </c>
      <c r="C11" s="7">
        <f t="shared" si="0"/>
        <v>0.10526315789473684</v>
      </c>
    </row>
    <row r="12" spans="1:5" x14ac:dyDescent="0.2">
      <c r="A12" t="s">
        <v>9</v>
      </c>
      <c r="B12">
        <f>COUNTA(Problems[Rust])</f>
        <v>15</v>
      </c>
      <c r="C12" s="7">
        <f t="shared" si="0"/>
        <v>0.39473684210526316</v>
      </c>
    </row>
    <row r="13" spans="1:5" x14ac:dyDescent="0.2">
      <c r="A13" t="s">
        <v>8</v>
      </c>
      <c r="B13">
        <f>COUNTA(Problems[TypeScript])</f>
        <v>2</v>
      </c>
      <c r="C13" s="7">
        <f t="shared" si="0"/>
        <v>5.2631578947368418E-2</v>
      </c>
    </row>
    <row r="14" spans="1:5" x14ac:dyDescent="0.2">
      <c r="A14" t="s">
        <v>7</v>
      </c>
      <c r="B14">
        <f>COUNTA(Problems[JavaScript])</f>
        <v>3</v>
      </c>
      <c r="C14" s="7">
        <f t="shared" si="0"/>
        <v>7.8947368421052627E-2</v>
      </c>
    </row>
    <row r="15" spans="1:5" x14ac:dyDescent="0.2">
      <c r="A15" t="s">
        <v>13</v>
      </c>
      <c r="B15">
        <f>COUNTA(Problems[Bash])</f>
        <v>1</v>
      </c>
      <c r="C15" s="7">
        <f t="shared" si="0"/>
        <v>2.6315789473684209E-2</v>
      </c>
    </row>
    <row r="16" spans="1:5" x14ac:dyDescent="0.2">
      <c r="A16" t="s">
        <v>11</v>
      </c>
      <c r="B16">
        <f>COUNTA(Problems[C])</f>
        <v>1</v>
      </c>
      <c r="C16" s="7">
        <f t="shared" si="0"/>
        <v>2.6315789473684209E-2</v>
      </c>
    </row>
    <row r="17" spans="1:3" ht="16" customHeight="1" x14ac:dyDescent="0.2">
      <c r="A17" t="s">
        <v>12</v>
      </c>
      <c r="B17">
        <f>COUNTA(Problems[Java])</f>
        <v>2</v>
      </c>
      <c r="C17" s="7">
        <f t="shared" si="0"/>
        <v>5.2631578947368418E-2</v>
      </c>
    </row>
    <row r="18" spans="1:3" x14ac:dyDescent="0.2">
      <c r="A18" s="6" t="s">
        <v>852</v>
      </c>
      <c r="B18">
        <f>SUM(B10:B17)</f>
        <v>38</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2026-01-08T15:13:52Z</dcterms:modified>
</cp:coreProperties>
</file>