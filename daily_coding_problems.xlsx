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E5013821-6E91-8B44-8A22-FBD8A3DCFDCF}" xr6:coauthVersionLast="47" xr6:coauthVersionMax="47" xr10:uidLastSave="{00000000-0000-0000-0000-000000000000}"/>
  <bookViews>
    <workbookView xWindow="0" yWindow="600" windowWidth="38400" windowHeight="21000"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<sst xmlns="http://schemas.openxmlformats.org/spreadsheetml/2006/main" count="2058" uniqueCount="858">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</sst>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10">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xf numFmtId="164" fontId="3" fillId="0" borderId="0" xfId="1" applyNumberFormat="1"/>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filterColumn colId="1">
      <filters>
        <filter val="Easy"/>
      </filters>
    </filterColumn>
  </autoFilter>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tabSelected="1" zoomScale="86" workbookViewId="0">
      <pane ySplit="1" topLeftCell="A27" activePane="bottomLeft" state="frozen"/>
      <selection pane="bottomLeft" activeCell="I45" sqref="I45"/>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hidden="1" x14ac:dyDescent="0.2">
      <c r="A2">
        <v>2</v>
      </c>
      <c r="B2" t="s">
        <v>14</v>
      </c>
      <c r="C2" t="s">
        <v>15</v>
      </c>
      <c r="D2" t="s">
        <v>16</v>
      </c>
      <c r="E2" s="1" t="s">
        <v>17</v>
      </c>
      <c r="F2" t="s">
        <v>18</v>
      </c>
      <c r="N2">
        <f t="shared" ref="N2:N65" si="0">COUNTA(G2:M2)</f>
        <v>0</v>
      </c>
    </row>
    <row r="3" spans="1:14" ht="112" hidden="1" x14ac:dyDescent="0.2">
      <c r="A3">
        <v>3</v>
      </c>
      <c r="B3" t="s">
        <v>19</v>
      </c>
      <c r="C3" t="s">
        <v>20</v>
      </c>
      <c r="D3" t="s">
        <v>21</v>
      </c>
      <c r="E3" s="1" t="s">
        <v>22</v>
      </c>
      <c r="F3" t="s">
        <v>18</v>
      </c>
      <c r="N3">
        <f t="shared" si="0"/>
        <v>0</v>
      </c>
    </row>
    <row r="4" spans="1:14" ht="80" hidden="1" x14ac:dyDescent="0.2">
      <c r="A4">
        <v>4</v>
      </c>
      <c r="B4" t="s">
        <v>14</v>
      </c>
      <c r="C4" t="s">
        <v>23</v>
      </c>
      <c r="D4" t="s">
        <v>24</v>
      </c>
      <c r="E4" s="1" t="s">
        <v>25</v>
      </c>
      <c r="F4" t="s">
        <v>18</v>
      </c>
      <c r="N4">
        <f t="shared" si="0"/>
        <v>0</v>
      </c>
    </row>
    <row r="5" spans="1:14" ht="64" hidden="1" x14ac:dyDescent="0.2">
      <c r="A5">
        <v>5</v>
      </c>
      <c r="B5" t="s">
        <v>19</v>
      </c>
      <c r="C5" t="s">
        <v>26</v>
      </c>
      <c r="D5" t="s">
        <v>27</v>
      </c>
      <c r="E5" s="1" t="s">
        <v>28</v>
      </c>
      <c r="F5" t="s">
        <v>18</v>
      </c>
      <c r="N5">
        <f t="shared" si="0"/>
        <v>0</v>
      </c>
    </row>
    <row r="6" spans="1:14" ht="128" hidden="1" x14ac:dyDescent="0.2">
      <c r="A6">
        <v>6</v>
      </c>
      <c r="B6" t="s">
        <v>14</v>
      </c>
      <c r="C6" t="s">
        <v>20</v>
      </c>
      <c r="D6" t="s">
        <v>29</v>
      </c>
      <c r="E6" s="1" t="s">
        <v>30</v>
      </c>
      <c r="F6" t="s">
        <v>18</v>
      </c>
      <c r="N6">
        <f t="shared" si="0"/>
        <v>0</v>
      </c>
    </row>
    <row r="7" spans="1:14" ht="64" hidden="1" x14ac:dyDescent="0.2">
      <c r="A7">
        <v>7</v>
      </c>
      <c r="B7" t="s">
        <v>19</v>
      </c>
      <c r="C7" t="s">
        <v>31</v>
      </c>
      <c r="D7" t="s">
        <v>32</v>
      </c>
      <c r="E7" s="1" t="s">
        <v>33</v>
      </c>
      <c r="F7" t="s">
        <v>81</v>
      </c>
      <c r="G7" s="5">
        <v>46032</v>
      </c>
      <c r="J7" s="5">
        <v>46032</v>
      </c>
      <c r="N7">
        <f t="shared" si="0"/>
        <v>2</v>
      </c>
    </row>
    <row r="8" spans="1:14" ht="64" x14ac:dyDescent="0.2">
      <c r="A8">
        <v>8</v>
      </c>
      <c r="B8" t="s">
        <v>34</v>
      </c>
      <c r="C8" t="s">
        <v>20</v>
      </c>
      <c r="D8" t="s">
        <v>35</v>
      </c>
      <c r="E8" s="1" t="s">
        <v>36</v>
      </c>
      <c r="F8" t="s">
        <v>81</v>
      </c>
      <c r="J8" s="5">
        <v>45663</v>
      </c>
      <c r="M8" s="5">
        <v>46028</v>
      </c>
      <c r="N8">
        <f t="shared" si="0"/>
        <v>2</v>
      </c>
    </row>
    <row r="9" spans="1:14" ht="80" hidden="1" x14ac:dyDescent="0.2">
      <c r="A9">
        <v>9</v>
      </c>
      <c r="B9" t="s">
        <v>14</v>
      </c>
      <c r="C9" t="s">
        <v>37</v>
      </c>
      <c r="D9" t="s">
        <v>38</v>
      </c>
      <c r="E9" s="1" t="s">
        <v>39</v>
      </c>
      <c r="F9" t="s">
        <v>18</v>
      </c>
      <c r="N9">
        <f t="shared" si="0"/>
        <v>0</v>
      </c>
    </row>
    <row r="10" spans="1:14" ht="32" hidden="1" x14ac:dyDescent="0.2">
      <c r="A10">
        <v>10</v>
      </c>
      <c r="B10" t="s">
        <v>19</v>
      </c>
      <c r="C10" t="s">
        <v>40</v>
      </c>
      <c r="D10" t="s">
        <v>41</v>
      </c>
      <c r="E10" s="1" t="s">
        <v>42</v>
      </c>
      <c r="F10" t="s">
        <v>18</v>
      </c>
      <c r="N10">
        <f t="shared" si="0"/>
        <v>0</v>
      </c>
    </row>
    <row r="11" spans="1:14" ht="80" hidden="1" x14ac:dyDescent="0.2">
      <c r="A11">
        <v>11</v>
      </c>
      <c r="B11" t="s">
        <v>19</v>
      </c>
      <c r="C11" t="s">
        <v>43</v>
      </c>
      <c r="D11" t="s">
        <v>44</v>
      </c>
      <c r="E11" s="1" t="s">
        <v>45</v>
      </c>
      <c r="F11" t="s">
        <v>18</v>
      </c>
      <c r="N11">
        <f t="shared" si="0"/>
        <v>0</v>
      </c>
    </row>
    <row r="12" spans="1:14" ht="112" hidden="1" x14ac:dyDescent="0.2">
      <c r="A12">
        <v>12</v>
      </c>
      <c r="B12" t="s">
        <v>14</v>
      </c>
      <c r="C12" t="s">
        <v>46</v>
      </c>
      <c r="D12" t="s">
        <v>47</v>
      </c>
      <c r="E12" s="1" t="s">
        <v>48</v>
      </c>
      <c r="F12" t="s">
        <v>18</v>
      </c>
      <c r="N12">
        <f t="shared" si="0"/>
        <v>0</v>
      </c>
    </row>
    <row r="13" spans="1:14" ht="48" hidden="1" x14ac:dyDescent="0.2">
      <c r="A13">
        <v>13</v>
      </c>
      <c r="B13" t="s">
        <v>14</v>
      </c>
      <c r="C13" t="s">
        <v>46</v>
      </c>
      <c r="D13" t="s">
        <v>49</v>
      </c>
      <c r="E13" s="1" t="s">
        <v>50</v>
      </c>
      <c r="F13" t="s">
        <v>18</v>
      </c>
      <c r="N13">
        <f t="shared" si="0"/>
        <v>0</v>
      </c>
    </row>
    <row r="14" spans="1:14" ht="32" hidden="1" x14ac:dyDescent="0.2">
      <c r="A14">
        <v>14</v>
      </c>
      <c r="B14" t="s">
        <v>19</v>
      </c>
      <c r="C14" t="s">
        <v>20</v>
      </c>
      <c r="D14" t="s">
        <v>51</v>
      </c>
      <c r="E14" s="1" t="s">
        <v>52</v>
      </c>
      <c r="F14" t="s">
        <v>18</v>
      </c>
      <c r="N14">
        <f t="shared" si="0"/>
        <v>0</v>
      </c>
    </row>
    <row r="15" spans="1:14" ht="32" hidden="1" x14ac:dyDescent="0.2">
      <c r="A15">
        <v>15</v>
      </c>
      <c r="B15" t="s">
        <v>19</v>
      </c>
      <c r="C15" t="s">
        <v>31</v>
      </c>
      <c r="D15" t="s">
        <v>53</v>
      </c>
      <c r="E15" s="1" t="s">
        <v>54</v>
      </c>
      <c r="F15" t="s">
        <v>18</v>
      </c>
      <c r="N15">
        <f t="shared" si="0"/>
        <v>0</v>
      </c>
    </row>
    <row r="16" spans="1:14" ht="80" x14ac:dyDescent="0.2">
      <c r="A16">
        <v>16</v>
      </c>
      <c r="B16" t="s">
        <v>34</v>
      </c>
      <c r="C16" t="s">
        <v>43</v>
      </c>
      <c r="D16" t="s">
        <v>55</v>
      </c>
      <c r="E16" s="1" t="s">
        <v>56</v>
      </c>
      <c r="F16" t="s">
        <v>81</v>
      </c>
      <c r="J16" s="5">
        <v>46036</v>
      </c>
      <c r="N16">
        <f t="shared" si="0"/>
        <v>1</v>
      </c>
    </row>
    <row r="17" spans="1:14" ht="224" hidden="1" x14ac:dyDescent="0.2">
      <c r="A17">
        <v>17</v>
      </c>
      <c r="B17" t="s">
        <v>14</v>
      </c>
      <c r="C17" t="s">
        <v>20</v>
      </c>
      <c r="D17" t="s">
        <v>57</v>
      </c>
      <c r="E17" s="1" t="s">
        <v>58</v>
      </c>
      <c r="F17" t="s">
        <v>18</v>
      </c>
      <c r="N17">
        <f t="shared" si="0"/>
        <v>0</v>
      </c>
    </row>
    <row r="18" spans="1:14" ht="112" hidden="1" x14ac:dyDescent="0.2">
      <c r="A18">
        <v>18</v>
      </c>
      <c r="B18" t="s">
        <v>14</v>
      </c>
      <c r="C18" t="s">
        <v>20</v>
      </c>
      <c r="D18" t="s">
        <v>59</v>
      </c>
      <c r="E18" s="1" t="s">
        <v>60</v>
      </c>
      <c r="F18" t="s">
        <v>18</v>
      </c>
      <c r="N18">
        <f t="shared" si="0"/>
        <v>0</v>
      </c>
    </row>
    <row r="19" spans="1:14" ht="80" hidden="1" x14ac:dyDescent="0.2">
      <c r="A19">
        <v>19</v>
      </c>
      <c r="B19" t="s">
        <v>19</v>
      </c>
      <c r="C19" t="s">
        <v>31</v>
      </c>
      <c r="D19" t="s">
        <v>61</v>
      </c>
      <c r="E19" s="1" t="s">
        <v>62</v>
      </c>
      <c r="F19" t="s">
        <v>18</v>
      </c>
      <c r="N19">
        <f t="shared" si="0"/>
        <v>0</v>
      </c>
    </row>
    <row r="20" spans="1:14" ht="96" x14ac:dyDescent="0.2">
      <c r="A20">
        <v>20</v>
      </c>
      <c r="B20" t="s">
        <v>34</v>
      </c>
      <c r="C20" t="s">
        <v>20</v>
      </c>
      <c r="D20" t="s">
        <v>63</v>
      </c>
      <c r="E20" s="1" t="s">
        <v>64</v>
      </c>
      <c r="F20" t="s">
        <v>18</v>
      </c>
      <c r="N20">
        <f t="shared" si="0"/>
        <v>0</v>
      </c>
    </row>
    <row r="21" spans="1:14" ht="48" x14ac:dyDescent="0.2">
      <c r="A21">
        <v>21</v>
      </c>
      <c r="B21" t="s">
        <v>34</v>
      </c>
      <c r="C21" t="s">
        <v>65</v>
      </c>
      <c r="D21" t="s">
        <v>66</v>
      </c>
      <c r="E21" s="1" t="s">
        <v>67</v>
      </c>
      <c r="F21" t="s">
        <v>81</v>
      </c>
      <c r="J21" s="5">
        <v>46034</v>
      </c>
      <c r="N21">
        <f t="shared" si="0"/>
        <v>1</v>
      </c>
    </row>
    <row r="22" spans="1:14" ht="128" hidden="1" x14ac:dyDescent="0.2">
      <c r="A22">
        <v>22</v>
      </c>
      <c r="B22" t="s">
        <v>19</v>
      </c>
      <c r="C22" t="s">
        <v>68</v>
      </c>
      <c r="D22" t="s">
        <v>69</v>
      </c>
      <c r="E22" s="1" t="s">
        <v>70</v>
      </c>
      <c r="F22" t="s">
        <v>18</v>
      </c>
      <c r="N22">
        <f t="shared" si="0"/>
        <v>0</v>
      </c>
    </row>
    <row r="23" spans="1:14" ht="176" x14ac:dyDescent="0.2">
      <c r="A23">
        <v>23</v>
      </c>
      <c r="B23" t="s">
        <v>34</v>
      </c>
      <c r="C23" t="s">
        <v>20</v>
      </c>
      <c r="D23" t="s">
        <v>71</v>
      </c>
      <c r="E23" s="1" t="s">
        <v>72</v>
      </c>
      <c r="F23" t="s">
        <v>18</v>
      </c>
      <c r="N23">
        <f t="shared" si="0"/>
        <v>0</v>
      </c>
    </row>
    <row r="24" spans="1:14" ht="176" hidden="1" x14ac:dyDescent="0.2">
      <c r="A24">
        <v>24</v>
      </c>
      <c r="B24" t="s">
        <v>19</v>
      </c>
      <c r="C24" t="s">
        <v>20</v>
      </c>
      <c r="D24" t="s">
        <v>73</v>
      </c>
      <c r="E24" s="1" t="s">
        <v>74</v>
      </c>
      <c r="F24" t="s">
        <v>18</v>
      </c>
      <c r="N24">
        <f t="shared" si="0"/>
        <v>0</v>
      </c>
    </row>
    <row r="25" spans="1:14" ht="160" hidden="1" x14ac:dyDescent="0.2">
      <c r="A25">
        <v>25</v>
      </c>
      <c r="B25" t="s">
        <v>14</v>
      </c>
      <c r="C25" t="s">
        <v>31</v>
      </c>
      <c r="D25" t="s">
        <v>75</v>
      </c>
      <c r="E25" s="1" t="s">
        <v>76</v>
      </c>
      <c r="F25" t="s">
        <v>18</v>
      </c>
      <c r="N25">
        <f t="shared" si="0"/>
        <v>0</v>
      </c>
    </row>
    <row r="26" spans="1:14" ht="64" hidden="1" x14ac:dyDescent="0.2">
      <c r="A26">
        <v>26</v>
      </c>
      <c r="B26" t="s">
        <v>19</v>
      </c>
      <c r="C26" t="s">
        <v>20</v>
      </c>
      <c r="D26" t="s">
        <v>77</v>
      </c>
      <c r="E26" s="1" t="s">
        <v>78</v>
      </c>
      <c r="F26" t="s">
        <v>18</v>
      </c>
      <c r="N26">
        <f t="shared" si="0"/>
        <v>0</v>
      </c>
    </row>
    <row r="27" spans="1:14" ht="64" x14ac:dyDescent="0.2">
      <c r="A27">
        <v>27</v>
      </c>
      <c r="B27" t="s">
        <v>34</v>
      </c>
      <c r="C27" t="s">
        <v>31</v>
      </c>
      <c r="D27" t="s">
        <v>79</v>
      </c>
      <c r="E27" s="1" t="s">
        <v>80</v>
      </c>
      <c r="F27" t="s">
        <v>81</v>
      </c>
      <c r="G27" s="5">
        <v>46026</v>
      </c>
      <c r="H27" s="5">
        <v>46028</v>
      </c>
      <c r="I27" s="5"/>
      <c r="J27" s="5">
        <v>46023</v>
      </c>
      <c r="K27" s="5"/>
      <c r="L27" s="5"/>
      <c r="M27" s="5"/>
      <c r="N27">
        <f t="shared" si="0"/>
        <v>3</v>
      </c>
    </row>
    <row r="28" spans="1:14" ht="208" hidden="1" x14ac:dyDescent="0.2">
      <c r="A28">
        <v>28</v>
      </c>
      <c r="B28" t="s">
        <v>19</v>
      </c>
      <c r="C28" t="s">
        <v>82</v>
      </c>
      <c r="D28" t="s">
        <v>83</v>
      </c>
      <c r="E28" s="1" t="s">
        <v>84</v>
      </c>
      <c r="F28" t="s">
        <v>18</v>
      </c>
      <c r="N28">
        <f t="shared" si="0"/>
        <v>0</v>
      </c>
    </row>
    <row r="29" spans="1:14" ht="96" x14ac:dyDescent="0.2">
      <c r="A29">
        <v>29</v>
      </c>
      <c r="B29" t="s">
        <v>34</v>
      </c>
      <c r="C29" t="s">
        <v>46</v>
      </c>
      <c r="D29" t="s">
        <v>85</v>
      </c>
      <c r="E29" s="1" t="s">
        <v>86</v>
      </c>
      <c r="F29" t="s">
        <v>81</v>
      </c>
      <c r="J29" s="5">
        <v>46030</v>
      </c>
      <c r="N29">
        <f t="shared" si="0"/>
        <v>1</v>
      </c>
    </row>
    <row r="30" spans="1:14" ht="128" hidden="1" x14ac:dyDescent="0.2">
      <c r="A30">
        <v>30</v>
      </c>
      <c r="B30" t="s">
        <v>19</v>
      </c>
      <c r="C30" t="s">
        <v>31</v>
      </c>
      <c r="D30" t="s">
        <v>87</v>
      </c>
      <c r="E30" s="1" t="s">
        <v>88</v>
      </c>
      <c r="F30" t="s">
        <v>18</v>
      </c>
      <c r="N30">
        <f t="shared" si="0"/>
        <v>0</v>
      </c>
    </row>
    <row r="31" spans="1:14" ht="80" x14ac:dyDescent="0.2">
      <c r="A31">
        <v>31</v>
      </c>
      <c r="B31" t="s">
        <v>34</v>
      </c>
      <c r="C31" t="s">
        <v>20</v>
      </c>
      <c r="D31" t="s">
        <v>89</v>
      </c>
      <c r="E31" s="1" t="s">
        <v>90</v>
      </c>
      <c r="F31" t="s">
        <v>81</v>
      </c>
      <c r="J31" s="5">
        <v>46041</v>
      </c>
      <c r="N31">
        <f t="shared" si="0"/>
        <v>1</v>
      </c>
    </row>
    <row r="32" spans="1:14" ht="96" hidden="1" x14ac:dyDescent="0.2">
      <c r="A32">
        <v>32</v>
      </c>
      <c r="B32" t="s">
        <v>14</v>
      </c>
      <c r="C32" t="s">
        <v>26</v>
      </c>
      <c r="D32" t="s">
        <v>91</v>
      </c>
      <c r="E32" s="1" t="s">
        <v>92</v>
      </c>
      <c r="F32" t="s">
        <v>18</v>
      </c>
      <c r="N32">
        <f t="shared" si="0"/>
        <v>0</v>
      </c>
    </row>
    <row r="33" spans="1:14" ht="80" x14ac:dyDescent="0.2">
      <c r="A33">
        <v>33</v>
      </c>
      <c r="B33" t="s">
        <v>34</v>
      </c>
      <c r="C33" t="s">
        <v>68</v>
      </c>
      <c r="D33" t="s">
        <v>93</v>
      </c>
      <c r="E33" s="1" t="s">
        <v>94</v>
      </c>
      <c r="F33" t="s">
        <v>81</v>
      </c>
      <c r="J33" s="5">
        <v>46042</v>
      </c>
      <c r="N33">
        <f t="shared" si="0"/>
        <v>1</v>
      </c>
    </row>
    <row r="34" spans="1:14" ht="144" hidden="1" x14ac:dyDescent="0.2">
      <c r="A34">
        <v>34</v>
      </c>
      <c r="B34" t="s">
        <v>19</v>
      </c>
      <c r="C34" t="s">
        <v>95</v>
      </c>
      <c r="D34" t="s">
        <v>96</v>
      </c>
      <c r="E34" s="1" t="s">
        <v>97</v>
      </c>
      <c r="F34" t="s">
        <v>18</v>
      </c>
      <c r="N34">
        <f t="shared" si="0"/>
        <v>0</v>
      </c>
    </row>
    <row r="35" spans="1:14" ht="80" hidden="1" x14ac:dyDescent="0.2">
      <c r="A35">
        <v>35</v>
      </c>
      <c r="B35" t="s">
        <v>14</v>
      </c>
      <c r="C35" t="s">
        <v>20</v>
      </c>
      <c r="D35" t="s">
        <v>98</v>
      </c>
      <c r="E35" s="1" t="s">
        <v>99</v>
      </c>
      <c r="F35" t="s">
        <v>18</v>
      </c>
      <c r="N35">
        <f t="shared" si="0"/>
        <v>0</v>
      </c>
    </row>
    <row r="36" spans="1:14" ht="32" hidden="1" x14ac:dyDescent="0.2">
      <c r="A36">
        <v>36</v>
      </c>
      <c r="B36" t="s">
        <v>19</v>
      </c>
      <c r="C36" t="s">
        <v>100</v>
      </c>
      <c r="D36" t="s">
        <v>101</v>
      </c>
      <c r="E36" s="1" t="s">
        <v>101</v>
      </c>
      <c r="F36" t="s">
        <v>18</v>
      </c>
      <c r="N36">
        <f t="shared" si="0"/>
        <v>0</v>
      </c>
    </row>
    <row r="37" spans="1:14" ht="64" x14ac:dyDescent="0.2">
      <c r="A37">
        <v>37</v>
      </c>
      <c r="B37" t="s">
        <v>34</v>
      </c>
      <c r="C37" t="s">
        <v>20</v>
      </c>
      <c r="D37" t="s">
        <v>102</v>
      </c>
      <c r="E37" s="1" t="s">
        <v>103</v>
      </c>
      <c r="F37" t="s">
        <v>81</v>
      </c>
      <c r="G37" s="5">
        <v>46031</v>
      </c>
      <c r="H37" s="5">
        <v>46031</v>
      </c>
      <c r="J37" s="5">
        <v>46031</v>
      </c>
      <c r="N37">
        <f t="shared" si="0"/>
        <v>3</v>
      </c>
    </row>
    <row r="38" spans="1:14" ht="64" hidden="1" x14ac:dyDescent="0.2">
      <c r="A38">
        <v>38</v>
      </c>
      <c r="B38" t="s">
        <v>14</v>
      </c>
      <c r="C38" t="s">
        <v>68</v>
      </c>
      <c r="D38" t="s">
        <v>104</v>
      </c>
      <c r="E38" s="1" t="s">
        <v>105</v>
      </c>
      <c r="F38" t="s">
        <v>18</v>
      </c>
      <c r="N38">
        <f t="shared" si="0"/>
        <v>0</v>
      </c>
    </row>
    <row r="39" spans="1:14" ht="208" hidden="1" x14ac:dyDescent="0.2">
      <c r="A39">
        <v>39</v>
      </c>
      <c r="B39" t="s">
        <v>19</v>
      </c>
      <c r="C39" t="s">
        <v>100</v>
      </c>
      <c r="D39" t="s">
        <v>106</v>
      </c>
      <c r="E39" s="1" t="s">
        <v>107</v>
      </c>
      <c r="F39" t="s">
        <v>18</v>
      </c>
      <c r="N39">
        <f t="shared" si="0"/>
        <v>0</v>
      </c>
    </row>
    <row r="40" spans="1:14" ht="64" hidden="1" x14ac:dyDescent="0.2">
      <c r="A40">
        <v>40</v>
      </c>
      <c r="B40" t="s">
        <v>14</v>
      </c>
      <c r="C40" t="s">
        <v>20</v>
      </c>
      <c r="D40" t="s">
        <v>108</v>
      </c>
      <c r="E40" s="1" t="s">
        <v>109</v>
      </c>
      <c r="F40" t="s">
        <v>18</v>
      </c>
      <c r="N40">
        <f t="shared" si="0"/>
        <v>0</v>
      </c>
    </row>
    <row r="41" spans="1:14" ht="176" hidden="1" x14ac:dyDescent="0.2">
      <c r="A41">
        <v>41</v>
      </c>
      <c r="B41" t="s">
        <v>19</v>
      </c>
      <c r="C41" t="s">
        <v>31</v>
      </c>
      <c r="D41" t="s">
        <v>110</v>
      </c>
      <c r="E41" s="1" t="s">
        <v>111</v>
      </c>
      <c r="F41" t="s">
        <v>18</v>
      </c>
      <c r="N41">
        <f t="shared" si="0"/>
        <v>0</v>
      </c>
    </row>
    <row r="42" spans="1:14" ht="80" hidden="1" x14ac:dyDescent="0.2">
      <c r="A42">
        <v>42</v>
      </c>
      <c r="B42" t="s">
        <v>14</v>
      </c>
      <c r="C42" t="s">
        <v>20</v>
      </c>
      <c r="D42" t="s">
        <v>112</v>
      </c>
      <c r="E42" s="1" t="s">
        <v>113</v>
      </c>
      <c r="F42" t="s">
        <v>18</v>
      </c>
      <c r="N42">
        <f t="shared" si="0"/>
        <v>0</v>
      </c>
    </row>
    <row r="43" spans="1:14" ht="96" x14ac:dyDescent="0.2">
      <c r="A43">
        <v>43</v>
      </c>
      <c r="B43" t="s">
        <v>34</v>
      </c>
      <c r="C43" t="s">
        <v>46</v>
      </c>
      <c r="D43" t="s">
        <v>114</v>
      </c>
      <c r="E43" s="1" t="s">
        <v>115</v>
      </c>
      <c r="F43" t="s">
        <v>81</v>
      </c>
      <c r="G43" s="5"/>
      <c r="H43" s="5"/>
      <c r="I43" s="5"/>
      <c r="J43" s="5">
        <v>46025</v>
      </c>
      <c r="K43" s="5"/>
      <c r="L43" s="5"/>
      <c r="M43" s="5">
        <v>46047</v>
      </c>
      <c r="N43">
        <f t="shared" si="0"/>
        <v>2</v>
      </c>
    </row>
    <row r="44" spans="1:14" ht="128" hidden="1" x14ac:dyDescent="0.2">
      <c r="A44">
        <v>44</v>
      </c>
      <c r="B44" t="s">
        <v>19</v>
      </c>
      <c r="C44" t="s">
        <v>20</v>
      </c>
      <c r="D44" t="s">
        <v>116</v>
      </c>
      <c r="E44" s="1" t="s">
        <v>117</v>
      </c>
      <c r="F44" t="s">
        <v>18</v>
      </c>
      <c r="N44">
        <f t="shared" si="0"/>
        <v>0</v>
      </c>
    </row>
    <row r="45" spans="1:14" ht="48" x14ac:dyDescent="0.2">
      <c r="A45">
        <v>45</v>
      </c>
      <c r="B45" t="s">
        <v>34</v>
      </c>
      <c r="C45" t="s">
        <v>118</v>
      </c>
      <c r="D45" t="s">
        <v>119</v>
      </c>
      <c r="E45" s="1" t="s">
        <v>120</v>
      </c>
      <c r="F45" t="s">
        <v>81</v>
      </c>
      <c r="J45" s="5">
        <v>46043</v>
      </c>
      <c r="N45">
        <f t="shared" si="0"/>
        <v>1</v>
      </c>
    </row>
    <row r="46" spans="1:14" ht="64" hidden="1" x14ac:dyDescent="0.2">
      <c r="A46">
        <v>46</v>
      </c>
      <c r="B46" t="s">
        <v>14</v>
      </c>
      <c r="C46" t="s">
        <v>46</v>
      </c>
      <c r="D46" t="s">
        <v>121</v>
      </c>
      <c r="E46" s="1" t="s">
        <v>122</v>
      </c>
      <c r="F46" t="s">
        <v>18</v>
      </c>
      <c r="N46">
        <f t="shared" si="0"/>
        <v>0</v>
      </c>
    </row>
    <row r="47" spans="1:14" ht="80" x14ac:dyDescent="0.2">
      <c r="A47">
        <v>47</v>
      </c>
      <c r="B47" t="s">
        <v>34</v>
      </c>
      <c r="C47" t="s">
        <v>31</v>
      </c>
      <c r="D47" t="s">
        <v>123</v>
      </c>
      <c r="E47" s="1" t="s">
        <v>124</v>
      </c>
      <c r="F47" t="s">
        <v>81</v>
      </c>
      <c r="G47" s="5">
        <v>46029</v>
      </c>
      <c r="J47" s="5">
        <v>46029</v>
      </c>
      <c r="K47" s="5"/>
      <c r="L47" s="5">
        <v>46036</v>
      </c>
      <c r="N47">
        <f t="shared" si="0"/>
        <v>3</v>
      </c>
    </row>
    <row r="48" spans="1:14" ht="64" hidden="1" x14ac:dyDescent="0.2">
      <c r="A48">
        <v>48</v>
      </c>
      <c r="B48" t="s">
        <v>19</v>
      </c>
      <c r="C48" t="s">
        <v>20</v>
      </c>
      <c r="D48" t="s">
        <v>125</v>
      </c>
      <c r="E48" s="1" t="s">
        <v>126</v>
      </c>
      <c r="F48" t="s">
        <v>18</v>
      </c>
      <c r="N48">
        <f t="shared" si="0"/>
        <v>0</v>
      </c>
    </row>
    <row r="49" spans="1:14" ht="80" hidden="1" x14ac:dyDescent="0.2">
      <c r="A49">
        <v>49</v>
      </c>
      <c r="B49" t="s">
        <v>19</v>
      </c>
      <c r="C49" t="s">
        <v>46</v>
      </c>
      <c r="D49" t="s">
        <v>127</v>
      </c>
      <c r="E49" s="1" t="s">
        <v>128</v>
      </c>
      <c r="F49" t="s">
        <v>81</v>
      </c>
      <c r="G49" s="5">
        <v>45661</v>
      </c>
      <c r="H49" s="5"/>
      <c r="I49" s="5"/>
      <c r="J49" s="5">
        <v>46026</v>
      </c>
      <c r="K49" s="5"/>
      <c r="L49" s="5">
        <v>46041</v>
      </c>
      <c r="M49" s="5"/>
      <c r="N49">
        <f t="shared" si="0"/>
        <v>3</v>
      </c>
    </row>
    <row r="50" spans="1:14" ht="64" x14ac:dyDescent="0.2">
      <c r="A50">
        <v>50</v>
      </c>
      <c r="B50" t="s">
        <v>34</v>
      </c>
      <c r="C50" t="s">
        <v>68</v>
      </c>
      <c r="D50" t="s">
        <v>129</v>
      </c>
      <c r="E50" s="1" t="s">
        <v>130</v>
      </c>
      <c r="F50" t="s">
        <v>81</v>
      </c>
      <c r="G50" s="5">
        <v>46039</v>
      </c>
      <c r="N50">
        <f t="shared" si="0"/>
        <v>1</v>
      </c>
    </row>
    <row r="51" spans="1:14" ht="64" hidden="1" x14ac:dyDescent="0.2">
      <c r="A51">
        <v>51</v>
      </c>
      <c r="B51" t="s">
        <v>19</v>
      </c>
      <c r="C51" t="s">
        <v>31</v>
      </c>
      <c r="D51" t="s">
        <v>131</v>
      </c>
      <c r="E51" s="1" t="s">
        <v>132</v>
      </c>
      <c r="F51" t="s">
        <v>18</v>
      </c>
      <c r="N51">
        <f t="shared" si="0"/>
        <v>0</v>
      </c>
    </row>
    <row r="52" spans="1:14" ht="96" hidden="1" x14ac:dyDescent="0.2">
      <c r="A52">
        <v>52</v>
      </c>
      <c r="B52" t="s">
        <v>14</v>
      </c>
      <c r="C52" t="s">
        <v>20</v>
      </c>
      <c r="D52" t="s">
        <v>133</v>
      </c>
      <c r="E52" s="1" t="s">
        <v>134</v>
      </c>
      <c r="F52" t="s">
        <v>18</v>
      </c>
      <c r="N52">
        <f t="shared" si="0"/>
        <v>0</v>
      </c>
    </row>
    <row r="53" spans="1:14" ht="48" hidden="1" x14ac:dyDescent="0.2">
      <c r="A53">
        <v>53</v>
      </c>
      <c r="B53" t="s">
        <v>19</v>
      </c>
      <c r="C53" t="s">
        <v>40</v>
      </c>
      <c r="D53" t="s">
        <v>135</v>
      </c>
      <c r="E53" s="1" t="s">
        <v>136</v>
      </c>
      <c r="F53" t="s">
        <v>81</v>
      </c>
      <c r="J53" s="5">
        <v>46040</v>
      </c>
      <c r="N53">
        <f t="shared" si="0"/>
        <v>1</v>
      </c>
    </row>
    <row r="54" spans="1:14" ht="64" hidden="1" x14ac:dyDescent="0.2">
      <c r="A54">
        <v>54</v>
      </c>
      <c r="B54" t="s">
        <v>14</v>
      </c>
      <c r="C54" t="s">
        <v>100</v>
      </c>
      <c r="D54" t="s">
        <v>137</v>
      </c>
      <c r="E54" s="1" t="s">
        <v>138</v>
      </c>
      <c r="F54" t="s">
        <v>18</v>
      </c>
      <c r="N54">
        <f t="shared" si="0"/>
        <v>0</v>
      </c>
    </row>
    <row r="55" spans="1:14" ht="80" x14ac:dyDescent="0.2">
      <c r="A55">
        <v>55</v>
      </c>
      <c r="B55" t="s">
        <v>34</v>
      </c>
      <c r="C55" t="s">
        <v>68</v>
      </c>
      <c r="D55" t="s">
        <v>139</v>
      </c>
      <c r="E55" s="1" t="s">
        <v>140</v>
      </c>
      <c r="F55" t="s">
        <v>18</v>
      </c>
      <c r="N55">
        <f t="shared" si="0"/>
        <v>0</v>
      </c>
    </row>
    <row r="56" spans="1:14" ht="64" hidden="1" x14ac:dyDescent="0.2">
      <c r="A56">
        <v>56</v>
      </c>
      <c r="B56" t="s">
        <v>19</v>
      </c>
      <c r="C56" t="s">
        <v>20</v>
      </c>
      <c r="D56" t="s">
        <v>141</v>
      </c>
      <c r="E56" s="1" t="s">
        <v>142</v>
      </c>
      <c r="F56" t="s">
        <v>18</v>
      </c>
      <c r="N56">
        <f t="shared" si="0"/>
        <v>0</v>
      </c>
    </row>
    <row r="57" spans="1:14" ht="144" hidden="1" x14ac:dyDescent="0.2">
      <c r="A57">
        <v>57</v>
      </c>
      <c r="B57" t="s">
        <v>19</v>
      </c>
      <c r="C57" t="s">
        <v>46</v>
      </c>
      <c r="D57" t="s">
        <v>143</v>
      </c>
      <c r="E57" s="1" t="s">
        <v>144</v>
      </c>
      <c r="F57" t="s">
        <v>18</v>
      </c>
      <c r="N57">
        <f t="shared" si="0"/>
        <v>0</v>
      </c>
    </row>
    <row r="58" spans="1:14" ht="80" hidden="1" x14ac:dyDescent="0.2">
      <c r="A58">
        <v>58</v>
      </c>
      <c r="B58" t="s">
        <v>19</v>
      </c>
      <c r="C58" t="s">
        <v>46</v>
      </c>
      <c r="D58" t="s">
        <v>145</v>
      </c>
      <c r="E58" s="1" t="s">
        <v>146</v>
      </c>
      <c r="F58" t="s">
        <v>18</v>
      </c>
      <c r="N58">
        <f t="shared" si="0"/>
        <v>0</v>
      </c>
    </row>
    <row r="59" spans="1:14" ht="48" hidden="1" x14ac:dyDescent="0.2">
      <c r="A59">
        <v>59</v>
      </c>
      <c r="B59" t="s">
        <v>14</v>
      </c>
      <c r="C59" t="s">
        <v>20</v>
      </c>
      <c r="D59" t="s">
        <v>147</v>
      </c>
      <c r="E59" s="1" t="s">
        <v>148</v>
      </c>
      <c r="F59" t="s">
        <v>18</v>
      </c>
      <c r="N59">
        <f t="shared" si="0"/>
        <v>0</v>
      </c>
    </row>
    <row r="60" spans="1:14" ht="96" hidden="1" x14ac:dyDescent="0.2">
      <c r="A60">
        <v>60</v>
      </c>
      <c r="B60" t="s">
        <v>19</v>
      </c>
      <c r="C60" t="s">
        <v>31</v>
      </c>
      <c r="D60" t="s">
        <v>149</v>
      </c>
      <c r="E60" s="1" t="s">
        <v>150</v>
      </c>
      <c r="F60" t="s">
        <v>18</v>
      </c>
      <c r="N60">
        <f t="shared" si="0"/>
        <v>0</v>
      </c>
    </row>
    <row r="61" spans="1:14" ht="64" hidden="1" x14ac:dyDescent="0.2">
      <c r="A61">
        <v>61</v>
      </c>
      <c r="B61" t="s">
        <v>19</v>
      </c>
      <c r="C61" t="s">
        <v>20</v>
      </c>
      <c r="D61" t="s">
        <v>151</v>
      </c>
      <c r="E61" s="1" t="s">
        <v>152</v>
      </c>
      <c r="F61" t="s">
        <v>18</v>
      </c>
      <c r="N61">
        <f t="shared" si="0"/>
        <v>0</v>
      </c>
    </row>
    <row r="62" spans="1:14" ht="96" hidden="1" x14ac:dyDescent="0.2">
      <c r="A62">
        <v>62</v>
      </c>
      <c r="B62" t="s">
        <v>19</v>
      </c>
      <c r="C62" t="s">
        <v>31</v>
      </c>
      <c r="D62" t="s">
        <v>153</v>
      </c>
      <c r="E62" s="1" t="s">
        <v>154</v>
      </c>
      <c r="F62" t="s">
        <v>18</v>
      </c>
      <c r="N62">
        <f t="shared" si="0"/>
        <v>0</v>
      </c>
    </row>
    <row r="63" spans="1:14" ht="96" x14ac:dyDescent="0.2">
      <c r="A63">
        <v>63</v>
      </c>
      <c r="B63" t="s">
        <v>34</v>
      </c>
      <c r="C63" t="s">
        <v>68</v>
      </c>
      <c r="D63" t="s">
        <v>155</v>
      </c>
      <c r="E63" s="1" t="s">
        <v>156</v>
      </c>
      <c r="F63" t="s">
        <v>18</v>
      </c>
      <c r="N63">
        <f t="shared" si="0"/>
        <v>0</v>
      </c>
    </row>
    <row r="64" spans="1:14" ht="48" hidden="1" x14ac:dyDescent="0.2">
      <c r="A64">
        <v>64</v>
      </c>
      <c r="B64" t="s">
        <v>14</v>
      </c>
      <c r="C64" t="s">
        <v>20</v>
      </c>
      <c r="D64" t="s">
        <v>157</v>
      </c>
      <c r="E64" s="1" t="s">
        <v>158</v>
      </c>
      <c r="F64" t="s">
        <v>18</v>
      </c>
      <c r="N64">
        <f t="shared" si="0"/>
        <v>0</v>
      </c>
    </row>
    <row r="65" spans="1:14" ht="64" x14ac:dyDescent="0.2">
      <c r="A65">
        <v>65</v>
      </c>
      <c r="B65" t="s">
        <v>34</v>
      </c>
      <c r="C65" t="s">
        <v>46</v>
      </c>
      <c r="D65" t="s">
        <v>159</v>
      </c>
      <c r="E65" s="1" t="s">
        <v>160</v>
      </c>
      <c r="F65" t="s">
        <v>18</v>
      </c>
      <c r="N65">
        <f t="shared" si="0"/>
        <v>0</v>
      </c>
    </row>
    <row r="66" spans="1:14" ht="64" hidden="1" x14ac:dyDescent="0.2">
      <c r="A66">
        <v>66</v>
      </c>
      <c r="B66" t="s">
        <v>19</v>
      </c>
      <c r="C66" t="s">
        <v>161</v>
      </c>
      <c r="D66" t="s">
        <v>162</v>
      </c>
      <c r="E66" s="1" t="s">
        <v>163</v>
      </c>
      <c r="F66" t="s">
        <v>18</v>
      </c>
      <c r="N66">
        <f t="shared" ref="N66:N129" si="1">COUNTA(G66:M66)</f>
        <v>0</v>
      </c>
    </row>
    <row r="67" spans="1:14" ht="112" hidden="1" x14ac:dyDescent="0.2">
      <c r="A67">
        <v>67</v>
      </c>
      <c r="B67" t="s">
        <v>14</v>
      </c>
      <c r="C67" t="s">
        <v>20</v>
      </c>
      <c r="D67" t="s">
        <v>164</v>
      </c>
      <c r="E67" s="1" t="s">
        <v>165</v>
      </c>
      <c r="F67" t="s">
        <v>18</v>
      </c>
      <c r="N67">
        <f t="shared" si="1"/>
        <v>0</v>
      </c>
    </row>
    <row r="68" spans="1:14" ht="160" hidden="1" x14ac:dyDescent="0.2">
      <c r="A68">
        <v>68</v>
      </c>
      <c r="B68" t="s">
        <v>19</v>
      </c>
      <c r="C68" t="s">
        <v>20</v>
      </c>
      <c r="D68" t="s">
        <v>166</v>
      </c>
      <c r="E68" s="1" t="s">
        <v>167</v>
      </c>
      <c r="F68" t="s">
        <v>18</v>
      </c>
      <c r="N68">
        <f t="shared" si="1"/>
        <v>0</v>
      </c>
    </row>
    <row r="69" spans="1:14" ht="64" x14ac:dyDescent="0.2">
      <c r="A69">
        <v>69</v>
      </c>
      <c r="B69" t="s">
        <v>34</v>
      </c>
      <c r="C69" t="s">
        <v>31</v>
      </c>
      <c r="D69" t="s">
        <v>168</v>
      </c>
      <c r="E69" s="1" t="s">
        <v>169</v>
      </c>
      <c r="F69" t="s">
        <v>81</v>
      </c>
      <c r="G69" s="5">
        <v>46017</v>
      </c>
      <c r="H69" s="5"/>
      <c r="I69" s="5"/>
      <c r="J69" s="5">
        <v>46026</v>
      </c>
      <c r="K69" s="5"/>
      <c r="L69" s="5"/>
      <c r="M69" s="5"/>
      <c r="N69">
        <f t="shared" si="1"/>
        <v>2</v>
      </c>
    </row>
    <row r="70" spans="1:14" ht="48" x14ac:dyDescent="0.2">
      <c r="A70">
        <v>70</v>
      </c>
      <c r="B70" t="s">
        <v>34</v>
      </c>
      <c r="C70" t="s">
        <v>68</v>
      </c>
      <c r="D70" t="s">
        <v>170</v>
      </c>
      <c r="E70" s="1" t="s">
        <v>171</v>
      </c>
      <c r="F70" t="s">
        <v>18</v>
      </c>
      <c r="N70">
        <f t="shared" si="1"/>
        <v>0</v>
      </c>
    </row>
    <row r="71" spans="1:14" ht="48" x14ac:dyDescent="0.2">
      <c r="A71">
        <v>71</v>
      </c>
      <c r="B71" t="s">
        <v>34</v>
      </c>
      <c r="C71" t="s">
        <v>118</v>
      </c>
      <c r="D71" t="s">
        <v>172</v>
      </c>
      <c r="E71" s="1" t="s">
        <v>173</v>
      </c>
      <c r="F71" t="s">
        <v>18</v>
      </c>
      <c r="N71">
        <f t="shared" si="1"/>
        <v>0</v>
      </c>
    </row>
    <row r="72" spans="1:14" ht="208" hidden="1" x14ac:dyDescent="0.2">
      <c r="A72">
        <v>72</v>
      </c>
      <c r="B72" t="s">
        <v>14</v>
      </c>
      <c r="C72" t="s">
        <v>20</v>
      </c>
      <c r="D72" t="s">
        <v>174</v>
      </c>
      <c r="E72" s="1" t="s">
        <v>175</v>
      </c>
      <c r="F72" t="s">
        <v>18</v>
      </c>
      <c r="N72">
        <f t="shared" si="1"/>
        <v>0</v>
      </c>
    </row>
    <row r="73" spans="1:14" ht="16" x14ac:dyDescent="0.2">
      <c r="A73">
        <v>73</v>
      </c>
      <c r="B73" t="s">
        <v>34</v>
      </c>
      <c r="C73" t="s">
        <v>20</v>
      </c>
      <c r="D73" t="s">
        <v>176</v>
      </c>
      <c r="E73" s="1" t="s">
        <v>176</v>
      </c>
      <c r="F73" t="s">
        <v>81</v>
      </c>
      <c r="G73" s="5">
        <v>46024</v>
      </c>
      <c r="H73" s="5">
        <v>46030</v>
      </c>
      <c r="I73" s="5">
        <v>46033</v>
      </c>
      <c r="J73" s="5">
        <v>46023</v>
      </c>
      <c r="K73" s="5">
        <v>46029</v>
      </c>
      <c r="L73" s="5">
        <v>46037</v>
      </c>
      <c r="M73" s="5">
        <v>46041</v>
      </c>
      <c r="N73">
        <f t="shared" si="1"/>
        <v>7</v>
      </c>
    </row>
    <row r="74" spans="1:14" ht="128" hidden="1" x14ac:dyDescent="0.2">
      <c r="A74">
        <v>74</v>
      </c>
      <c r="B74" t="s">
        <v>19</v>
      </c>
      <c r="C74" t="s">
        <v>40</v>
      </c>
      <c r="D74" t="s">
        <v>177</v>
      </c>
      <c r="E74" s="1" t="s">
        <v>178</v>
      </c>
      <c r="F74" t="s">
        <v>18</v>
      </c>
      <c r="N74">
        <f t="shared" si="1"/>
        <v>0</v>
      </c>
    </row>
    <row r="75" spans="1:14" ht="80" hidden="1" x14ac:dyDescent="0.2">
      <c r="A75">
        <v>75</v>
      </c>
      <c r="B75" t="s">
        <v>14</v>
      </c>
      <c r="C75" t="s">
        <v>68</v>
      </c>
      <c r="D75" t="s">
        <v>179</v>
      </c>
      <c r="E75" s="1" t="s">
        <v>180</v>
      </c>
      <c r="F75" t="s">
        <v>18</v>
      </c>
      <c r="N75">
        <f t="shared" si="1"/>
        <v>0</v>
      </c>
    </row>
    <row r="76" spans="1:14" ht="192" hidden="1" x14ac:dyDescent="0.2">
      <c r="A76">
        <v>76</v>
      </c>
      <c r="B76" t="s">
        <v>19</v>
      </c>
      <c r="C76" t="s">
        <v>20</v>
      </c>
      <c r="D76" t="s">
        <v>181</v>
      </c>
      <c r="E76" s="1" t="s">
        <v>182</v>
      </c>
      <c r="F76" t="s">
        <v>18</v>
      </c>
      <c r="N76">
        <f t="shared" si="1"/>
        <v>0</v>
      </c>
    </row>
    <row r="77" spans="1:14" ht="64" x14ac:dyDescent="0.2">
      <c r="A77">
        <v>77</v>
      </c>
      <c r="B77" t="s">
        <v>34</v>
      </c>
      <c r="C77" t="s">
        <v>65</v>
      </c>
      <c r="D77" t="s">
        <v>183</v>
      </c>
      <c r="E77" s="1" t="s">
        <v>184</v>
      </c>
      <c r="F77" t="s">
        <v>81</v>
      </c>
      <c r="G77" s="5">
        <v>46033</v>
      </c>
      <c r="J77" s="5">
        <v>46033</v>
      </c>
      <c r="N77">
        <f t="shared" si="1"/>
        <v>2</v>
      </c>
    </row>
    <row r="78" spans="1:14" ht="32" hidden="1" x14ac:dyDescent="0.2">
      <c r="A78">
        <v>78</v>
      </c>
      <c r="B78" t="s">
        <v>19</v>
      </c>
      <c r="C78" t="s">
        <v>20</v>
      </c>
      <c r="D78" t="s">
        <v>185</v>
      </c>
      <c r="E78" s="1" t="s">
        <v>186</v>
      </c>
      <c r="F78" t="s">
        <v>18</v>
      </c>
      <c r="N78">
        <f t="shared" si="1"/>
        <v>0</v>
      </c>
    </row>
    <row r="79" spans="1:14" ht="96" hidden="1" x14ac:dyDescent="0.2">
      <c r="A79">
        <v>79</v>
      </c>
      <c r="B79" t="s">
        <v>19</v>
      </c>
      <c r="C79" t="s">
        <v>31</v>
      </c>
      <c r="D79" t="s">
        <v>187</v>
      </c>
      <c r="E79" s="1" t="s">
        <v>188</v>
      </c>
      <c r="F79" t="s">
        <v>18</v>
      </c>
      <c r="N79">
        <f t="shared" si="1"/>
        <v>0</v>
      </c>
    </row>
    <row r="80" spans="1:14" ht="32" x14ac:dyDescent="0.2">
      <c r="A80">
        <v>80</v>
      </c>
      <c r="B80" t="s">
        <v>34</v>
      </c>
      <c r="C80" t="s">
        <v>20</v>
      </c>
      <c r="D80" t="s">
        <v>189</v>
      </c>
      <c r="E80" s="1" t="s">
        <v>190</v>
      </c>
      <c r="F80" t="s">
        <v>18</v>
      </c>
      <c r="N80">
        <f t="shared" si="1"/>
        <v>0</v>
      </c>
    </row>
    <row r="81" spans="1:14" ht="80" x14ac:dyDescent="0.2">
      <c r="A81">
        <v>81</v>
      </c>
      <c r="B81" t="s">
        <v>34</v>
      </c>
      <c r="C81" t="s">
        <v>191</v>
      </c>
      <c r="D81" t="s">
        <v>192</v>
      </c>
      <c r="E81" s="1" t="s">
        <v>193</v>
      </c>
      <c r="F81" t="s">
        <v>81</v>
      </c>
      <c r="G81" s="5">
        <v>46038</v>
      </c>
      <c r="N81">
        <f t="shared" si="1"/>
        <v>1</v>
      </c>
    </row>
    <row r="82" spans="1:14" ht="32" hidden="1" x14ac:dyDescent="0.2">
      <c r="A82">
        <v>83</v>
      </c>
      <c r="B82" t="s">
        <v>19</v>
      </c>
      <c r="C82" t="s">
        <v>20</v>
      </c>
      <c r="D82" t="s">
        <v>194</v>
      </c>
      <c r="E82" s="1" t="s">
        <v>195</v>
      </c>
      <c r="F82" t="s">
        <v>18</v>
      </c>
      <c r="N82">
        <f t="shared" si="1"/>
        <v>0</v>
      </c>
    </row>
    <row r="83" spans="1:14" ht="64" hidden="1" x14ac:dyDescent="0.2">
      <c r="A83">
        <v>84</v>
      </c>
      <c r="B83" t="s">
        <v>19</v>
      </c>
      <c r="C83" t="s">
        <v>46</v>
      </c>
      <c r="D83" t="s">
        <v>196</v>
      </c>
      <c r="E83" s="1" t="s">
        <v>197</v>
      </c>
      <c r="F83" t="s">
        <v>18</v>
      </c>
      <c r="N83">
        <f t="shared" si="1"/>
        <v>0</v>
      </c>
    </row>
    <row r="84" spans="1:14" ht="32" hidden="1" x14ac:dyDescent="0.2">
      <c r="A84">
        <v>85</v>
      </c>
      <c r="B84" t="s">
        <v>19</v>
      </c>
      <c r="C84" t="s">
        <v>31</v>
      </c>
      <c r="D84" t="s">
        <v>198</v>
      </c>
      <c r="E84" s="1" t="s">
        <v>199</v>
      </c>
      <c r="F84" t="s">
        <v>18</v>
      </c>
      <c r="N84">
        <f t="shared" si="1"/>
        <v>0</v>
      </c>
    </row>
    <row r="85" spans="1:14" ht="80" hidden="1" x14ac:dyDescent="0.2">
      <c r="A85">
        <v>86</v>
      </c>
      <c r="B85" t="s">
        <v>19</v>
      </c>
      <c r="C85" t="s">
        <v>20</v>
      </c>
      <c r="D85" t="s">
        <v>200</v>
      </c>
      <c r="E85" s="1" t="s">
        <v>201</v>
      </c>
      <c r="F85" t="s">
        <v>18</v>
      </c>
      <c r="N85">
        <f t="shared" si="1"/>
        <v>0</v>
      </c>
    </row>
    <row r="86" spans="1:14" ht="80" hidden="1" x14ac:dyDescent="0.2">
      <c r="A86">
        <v>87</v>
      </c>
      <c r="B86" t="s">
        <v>14</v>
      </c>
      <c r="C86" t="s">
        <v>15</v>
      </c>
      <c r="D86" t="s">
        <v>202</v>
      </c>
      <c r="E86" s="1" t="s">
        <v>203</v>
      </c>
      <c r="F86" t="s">
        <v>18</v>
      </c>
      <c r="N86">
        <f t="shared" si="1"/>
        <v>0</v>
      </c>
    </row>
    <row r="87" spans="1:14" ht="64" hidden="1" x14ac:dyDescent="0.2">
      <c r="A87">
        <v>89</v>
      </c>
      <c r="B87" t="s">
        <v>19</v>
      </c>
      <c r="C87" t="s">
        <v>204</v>
      </c>
      <c r="D87" t="s">
        <v>205</v>
      </c>
      <c r="E87" s="1" t="s">
        <v>206</v>
      </c>
      <c r="F87" t="s">
        <v>18</v>
      </c>
      <c r="N87">
        <f t="shared" si="1"/>
        <v>0</v>
      </c>
    </row>
    <row r="88" spans="1:14" ht="48" x14ac:dyDescent="0.2">
      <c r="A88">
        <v>91</v>
      </c>
      <c r="B88" t="s">
        <v>34</v>
      </c>
      <c r="C88" t="s">
        <v>100</v>
      </c>
      <c r="D88" t="s">
        <v>207</v>
      </c>
      <c r="E88" s="1" t="s">
        <v>208</v>
      </c>
      <c r="F88" t="s">
        <v>18</v>
      </c>
      <c r="N88">
        <f t="shared" si="1"/>
        <v>0</v>
      </c>
    </row>
    <row r="89" spans="1:14" ht="96" hidden="1" x14ac:dyDescent="0.2">
      <c r="A89">
        <v>92</v>
      </c>
      <c r="B89" t="s">
        <v>14</v>
      </c>
      <c r="C89" t="s">
        <v>37</v>
      </c>
      <c r="D89" t="s">
        <v>209</v>
      </c>
      <c r="E89" s="1" t="s">
        <v>210</v>
      </c>
      <c r="F89" t="s">
        <v>18</v>
      </c>
      <c r="N89">
        <f t="shared" si="1"/>
        <v>0</v>
      </c>
    </row>
    <row r="90" spans="1:14" ht="32" hidden="1" x14ac:dyDescent="0.2">
      <c r="A90">
        <v>93</v>
      </c>
      <c r="B90" t="s">
        <v>14</v>
      </c>
      <c r="C90" t="s">
        <v>40</v>
      </c>
      <c r="D90" t="s">
        <v>211</v>
      </c>
      <c r="E90" s="1" t="s">
        <v>212</v>
      </c>
      <c r="F90" t="s">
        <v>18</v>
      </c>
      <c r="N90">
        <f t="shared" si="1"/>
        <v>0</v>
      </c>
    </row>
    <row r="91" spans="1:14" ht="48" x14ac:dyDescent="0.2">
      <c r="A91">
        <v>94</v>
      </c>
      <c r="B91" t="s">
        <v>34</v>
      </c>
      <c r="C91" t="s">
        <v>20</v>
      </c>
      <c r="D91" t="s">
        <v>213</v>
      </c>
      <c r="E91" s="1" t="s">
        <v>214</v>
      </c>
      <c r="F91" t="s">
        <v>18</v>
      </c>
      <c r="N91">
        <f t="shared" si="1"/>
        <v>0</v>
      </c>
    </row>
    <row r="92" spans="1:14" ht="112" hidden="1" x14ac:dyDescent="0.2">
      <c r="A92">
        <v>95</v>
      </c>
      <c r="B92" t="s">
        <v>14</v>
      </c>
      <c r="C92" t="s">
        <v>82</v>
      </c>
      <c r="D92" t="s">
        <v>215</v>
      </c>
      <c r="E92" s="1" t="s">
        <v>216</v>
      </c>
      <c r="F92" t="s">
        <v>18</v>
      </c>
      <c r="N92">
        <f t="shared" si="1"/>
        <v>0</v>
      </c>
    </row>
    <row r="93" spans="1:14" ht="48" x14ac:dyDescent="0.2">
      <c r="A93">
        <v>96</v>
      </c>
      <c r="B93" t="s">
        <v>34</v>
      </c>
      <c r="C93" t="s">
        <v>68</v>
      </c>
      <c r="D93" t="s">
        <v>217</v>
      </c>
      <c r="E93" s="1" t="s">
        <v>218</v>
      </c>
      <c r="F93" t="s">
        <v>81</v>
      </c>
      <c r="J93" s="5">
        <v>46035</v>
      </c>
      <c r="N93">
        <f t="shared" si="1"/>
        <v>1</v>
      </c>
    </row>
    <row r="94" spans="1:14" ht="208" hidden="1" x14ac:dyDescent="0.2">
      <c r="A94">
        <v>97</v>
      </c>
      <c r="B94" t="s">
        <v>19</v>
      </c>
      <c r="C94" t="s">
        <v>23</v>
      </c>
      <c r="D94" t="s">
        <v>219</v>
      </c>
      <c r="E94" s="1" t="s">
        <v>220</v>
      </c>
      <c r="F94" t="s">
        <v>18</v>
      </c>
      <c r="N94">
        <f t="shared" si="1"/>
        <v>0</v>
      </c>
    </row>
    <row r="95" spans="1:14" ht="112" x14ac:dyDescent="0.2">
      <c r="A95">
        <v>98</v>
      </c>
      <c r="B95" t="s">
        <v>34</v>
      </c>
      <c r="C95" t="s">
        <v>221</v>
      </c>
      <c r="D95" t="s">
        <v>222</v>
      </c>
      <c r="E95" s="1" t="s">
        <v>223</v>
      </c>
      <c r="F95" t="s">
        <v>18</v>
      </c>
      <c r="N95">
        <f t="shared" si="1"/>
        <v>0</v>
      </c>
    </row>
    <row r="96" spans="1:14" ht="64" hidden="1" x14ac:dyDescent="0.2">
      <c r="A96">
        <v>99</v>
      </c>
      <c r="B96" t="s">
        <v>19</v>
      </c>
      <c r="C96" t="s">
        <v>68</v>
      </c>
      <c r="D96" t="s">
        <v>224</v>
      </c>
      <c r="E96" s="1" t="s">
        <v>225</v>
      </c>
      <c r="F96" t="s">
        <v>18</v>
      </c>
      <c r="N96">
        <f t="shared" si="1"/>
        <v>0</v>
      </c>
    </row>
    <row r="97" spans="1:14" ht="112" x14ac:dyDescent="0.2">
      <c r="A97">
        <v>100</v>
      </c>
      <c r="B97" t="s">
        <v>34</v>
      </c>
      <c r="C97" t="s">
        <v>20</v>
      </c>
      <c r="D97" t="s">
        <v>226</v>
      </c>
      <c r="E97" s="1" t="s">
        <v>227</v>
      </c>
      <c r="F97" t="s">
        <v>18</v>
      </c>
      <c r="N97">
        <f t="shared" si="1"/>
        <v>0</v>
      </c>
    </row>
    <row r="98" spans="1:14" ht="112" x14ac:dyDescent="0.2">
      <c r="A98">
        <v>101</v>
      </c>
      <c r="B98" t="s">
        <v>34</v>
      </c>
      <c r="C98" t="s">
        <v>228</v>
      </c>
      <c r="D98" t="s">
        <v>229</v>
      </c>
      <c r="E98" s="1" t="s">
        <v>230</v>
      </c>
      <c r="F98" t="s">
        <v>18</v>
      </c>
      <c r="N98">
        <f t="shared" si="1"/>
        <v>0</v>
      </c>
    </row>
    <row r="99" spans="1:14" ht="48" hidden="1" x14ac:dyDescent="0.2">
      <c r="A99">
        <v>102</v>
      </c>
      <c r="B99" t="s">
        <v>19</v>
      </c>
      <c r="C99" t="s">
        <v>231</v>
      </c>
      <c r="D99" t="s">
        <v>232</v>
      </c>
      <c r="E99" s="1" t="s">
        <v>233</v>
      </c>
      <c r="F99" t="s">
        <v>18</v>
      </c>
      <c r="N99">
        <f t="shared" si="1"/>
        <v>0</v>
      </c>
    </row>
    <row r="100" spans="1:14" ht="64" hidden="1" x14ac:dyDescent="0.2">
      <c r="A100">
        <v>103</v>
      </c>
      <c r="B100" t="s">
        <v>19</v>
      </c>
      <c r="C100" t="s">
        <v>161</v>
      </c>
      <c r="D100" t="s">
        <v>234</v>
      </c>
      <c r="E100" s="1" t="s">
        <v>235</v>
      </c>
      <c r="F100" t="s">
        <v>18</v>
      </c>
      <c r="N100">
        <f t="shared" si="1"/>
        <v>0</v>
      </c>
    </row>
    <row r="101" spans="1:14" ht="48" x14ac:dyDescent="0.2">
      <c r="A101">
        <v>104</v>
      </c>
      <c r="B101" t="s">
        <v>34</v>
      </c>
      <c r="C101" t="s">
        <v>20</v>
      </c>
      <c r="D101" t="s">
        <v>236</v>
      </c>
      <c r="E101" s="1" t="s">
        <v>237</v>
      </c>
      <c r="F101" t="s">
        <v>18</v>
      </c>
      <c r="N101">
        <f t="shared" si="1"/>
        <v>0</v>
      </c>
    </row>
    <row r="102" spans="1:14" ht="48" x14ac:dyDescent="0.2">
      <c r="A102">
        <v>105</v>
      </c>
      <c r="B102" t="s">
        <v>34</v>
      </c>
      <c r="C102" t="s">
        <v>31</v>
      </c>
      <c r="D102" t="s">
        <v>238</v>
      </c>
      <c r="E102" s="1" t="s">
        <v>239</v>
      </c>
      <c r="F102" t="s">
        <v>18</v>
      </c>
      <c r="N102">
        <f t="shared" si="1"/>
        <v>0</v>
      </c>
    </row>
    <row r="103" spans="1:14" ht="48" hidden="1" x14ac:dyDescent="0.2">
      <c r="A103">
        <v>106</v>
      </c>
      <c r="B103" t="s">
        <v>19</v>
      </c>
      <c r="C103" t="s">
        <v>240</v>
      </c>
      <c r="D103" t="s">
        <v>241</v>
      </c>
      <c r="E103" s="1" t="s">
        <v>242</v>
      </c>
      <c r="F103" t="s">
        <v>18</v>
      </c>
      <c r="N103">
        <f t="shared" si="1"/>
        <v>0</v>
      </c>
    </row>
    <row r="104" spans="1:14" ht="32" x14ac:dyDescent="0.2">
      <c r="A104">
        <v>107</v>
      </c>
      <c r="B104" t="s">
        <v>34</v>
      </c>
      <c r="C104" t="s">
        <v>68</v>
      </c>
      <c r="D104" t="s">
        <v>243</v>
      </c>
      <c r="E104" s="1" t="s">
        <v>244</v>
      </c>
      <c r="F104" t="s">
        <v>18</v>
      </c>
      <c r="N104">
        <f t="shared" si="1"/>
        <v>0</v>
      </c>
    </row>
    <row r="105" spans="1:14" ht="48"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 t="shared" si="1"/>
        <v>7</v>
      </c>
    </row>
    <row r="106" spans="1:14" ht="64" hidden="1" x14ac:dyDescent="0.2">
      <c r="A106">
        <v>109</v>
      </c>
      <c r="B106" t="s">
        <v>19</v>
      </c>
      <c r="C106" t="s">
        <v>247</v>
      </c>
      <c r="D106" t="s">
        <v>248</v>
      </c>
      <c r="E106" s="1" t="s">
        <v>249</v>
      </c>
      <c r="F106" t="s">
        <v>18</v>
      </c>
      <c r="N106">
        <f t="shared" si="1"/>
        <v>0</v>
      </c>
    </row>
    <row r="107" spans="1:14" ht="32" hidden="1" x14ac:dyDescent="0.2">
      <c r="A107">
        <v>110</v>
      </c>
      <c r="B107" t="s">
        <v>19</v>
      </c>
      <c r="C107" t="s">
        <v>31</v>
      </c>
      <c r="D107" t="s">
        <v>250</v>
      </c>
      <c r="E107" s="1" t="s">
        <v>251</v>
      </c>
      <c r="F107" t="s">
        <v>18</v>
      </c>
      <c r="N107">
        <f t="shared" si="1"/>
        <v>0</v>
      </c>
    </row>
    <row r="108" spans="1:14" ht="48" hidden="1" x14ac:dyDescent="0.2">
      <c r="A108">
        <v>111</v>
      </c>
      <c r="B108" t="s">
        <v>14</v>
      </c>
      <c r="C108" t="s">
        <v>20</v>
      </c>
      <c r="D108" t="s">
        <v>252</v>
      </c>
      <c r="E108" s="1" t="s">
        <v>253</v>
      </c>
      <c r="F108" t="s">
        <v>18</v>
      </c>
      <c r="N108">
        <f t="shared" si="1"/>
        <v>0</v>
      </c>
    </row>
    <row r="109" spans="1:14" ht="112" hidden="1" x14ac:dyDescent="0.2">
      <c r="A109">
        <v>112</v>
      </c>
      <c r="B109" t="s">
        <v>14</v>
      </c>
      <c r="C109" t="s">
        <v>43</v>
      </c>
      <c r="D109" t="s">
        <v>254</v>
      </c>
      <c r="E109" s="1" t="s">
        <v>255</v>
      </c>
      <c r="F109" t="s">
        <v>18</v>
      </c>
      <c r="N109">
        <f t="shared" si="1"/>
        <v>0</v>
      </c>
    </row>
    <row r="110" spans="1:14" ht="64" hidden="1" x14ac:dyDescent="0.2">
      <c r="A110">
        <v>113</v>
      </c>
      <c r="B110" t="s">
        <v>19</v>
      </c>
      <c r="C110" t="s">
        <v>20</v>
      </c>
      <c r="D110" t="s">
        <v>256</v>
      </c>
      <c r="E110" s="1" t="s">
        <v>257</v>
      </c>
      <c r="F110" t="s">
        <v>18</v>
      </c>
      <c r="N110">
        <f t="shared" si="1"/>
        <v>0</v>
      </c>
    </row>
    <row r="111" spans="1:14" ht="64" hidden="1" x14ac:dyDescent="0.2">
      <c r="A111">
        <v>114</v>
      </c>
      <c r="B111" t="s">
        <v>14</v>
      </c>
      <c r="C111" t="s">
        <v>31</v>
      </c>
      <c r="D111" t="s">
        <v>258</v>
      </c>
      <c r="E111" s="1" t="s">
        <v>259</v>
      </c>
      <c r="F111" t="s">
        <v>18</v>
      </c>
      <c r="N111">
        <f t="shared" si="1"/>
        <v>0</v>
      </c>
    </row>
    <row r="112" spans="1:14" ht="64" hidden="1" x14ac:dyDescent="0.2">
      <c r="A112">
        <v>115</v>
      </c>
      <c r="B112" t="s">
        <v>14</v>
      </c>
      <c r="C112" t="s">
        <v>20</v>
      </c>
      <c r="D112" t="s">
        <v>260</v>
      </c>
      <c r="E112" s="1" t="s">
        <v>261</v>
      </c>
      <c r="F112" t="s">
        <v>18</v>
      </c>
      <c r="N112">
        <f t="shared" si="1"/>
        <v>0</v>
      </c>
    </row>
    <row r="113" spans="1:14" ht="32" hidden="1" x14ac:dyDescent="0.2">
      <c r="A113">
        <v>116</v>
      </c>
      <c r="B113" t="s">
        <v>19</v>
      </c>
      <c r="C113" t="s">
        <v>26</v>
      </c>
      <c r="D113" t="s">
        <v>262</v>
      </c>
      <c r="E113" s="1" t="s">
        <v>263</v>
      </c>
      <c r="F113" t="s">
        <v>18</v>
      </c>
      <c r="N113">
        <f t="shared" si="1"/>
        <v>0</v>
      </c>
    </row>
    <row r="114" spans="1:14" ht="16" x14ac:dyDescent="0.2">
      <c r="A114">
        <v>117</v>
      </c>
      <c r="B114" t="s">
        <v>34</v>
      </c>
      <c r="C114" t="s">
        <v>31</v>
      </c>
      <c r="D114" t="s">
        <v>264</v>
      </c>
      <c r="E114" s="1" t="s">
        <v>264</v>
      </c>
      <c r="F114" t="s">
        <v>18</v>
      </c>
      <c r="N114">
        <f t="shared" si="1"/>
        <v>0</v>
      </c>
    </row>
    <row r="115" spans="1:14" ht="32" x14ac:dyDescent="0.2">
      <c r="A115">
        <v>118</v>
      </c>
      <c r="B115" t="s">
        <v>34</v>
      </c>
      <c r="C115" t="s">
        <v>20</v>
      </c>
      <c r="D115" t="s">
        <v>265</v>
      </c>
      <c r="E115" s="1" t="s">
        <v>266</v>
      </c>
      <c r="F115" t="s">
        <v>81</v>
      </c>
      <c r="G115" s="5"/>
      <c r="H115" s="5"/>
      <c r="I115" s="5">
        <v>46015</v>
      </c>
      <c r="J115" s="5">
        <v>46026</v>
      </c>
      <c r="K115" s="5"/>
      <c r="L115" s="5"/>
      <c r="M115" s="5"/>
      <c r="N115">
        <f t="shared" si="1"/>
        <v>2</v>
      </c>
    </row>
    <row r="116" spans="1:14" ht="64" hidden="1" x14ac:dyDescent="0.2">
      <c r="A116">
        <v>119</v>
      </c>
      <c r="B116" t="s">
        <v>19</v>
      </c>
      <c r="C116" t="s">
        <v>20</v>
      </c>
      <c r="D116" t="s">
        <v>267</v>
      </c>
      <c r="E116" s="1" t="s">
        <v>268</v>
      </c>
      <c r="F116" t="s">
        <v>18</v>
      </c>
      <c r="N116">
        <f t="shared" si="1"/>
        <v>0</v>
      </c>
    </row>
    <row r="117" spans="1:14" ht="64" hidden="1" x14ac:dyDescent="0.2">
      <c r="A117">
        <v>120</v>
      </c>
      <c r="B117" t="s">
        <v>19</v>
      </c>
      <c r="C117" t="s">
        <v>68</v>
      </c>
      <c r="D117" t="s">
        <v>269</v>
      </c>
      <c r="E117" s="1" t="s">
        <v>270</v>
      </c>
      <c r="F117" t="s">
        <v>18</v>
      </c>
      <c r="N117">
        <f t="shared" si="1"/>
        <v>0</v>
      </c>
    </row>
    <row r="118" spans="1:14" ht="48" hidden="1" x14ac:dyDescent="0.2">
      <c r="A118">
        <v>121</v>
      </c>
      <c r="B118" t="s">
        <v>14</v>
      </c>
      <c r="C118" t="s">
        <v>20</v>
      </c>
      <c r="D118" t="s">
        <v>271</v>
      </c>
      <c r="E118" s="1" t="s">
        <v>272</v>
      </c>
      <c r="F118" t="s">
        <v>18</v>
      </c>
      <c r="N118">
        <f t="shared" si="1"/>
        <v>0</v>
      </c>
    </row>
    <row r="119" spans="1:14" ht="80" hidden="1" x14ac:dyDescent="0.2">
      <c r="A119">
        <v>123</v>
      </c>
      <c r="B119" t="s">
        <v>14</v>
      </c>
      <c r="C119" t="s">
        <v>204</v>
      </c>
      <c r="D119" t="s">
        <v>273</v>
      </c>
      <c r="E119" s="1" t="s">
        <v>274</v>
      </c>
      <c r="F119" t="s">
        <v>18</v>
      </c>
      <c r="N119">
        <f t="shared" si="1"/>
        <v>0</v>
      </c>
    </row>
    <row r="120" spans="1:14" ht="80" x14ac:dyDescent="0.2">
      <c r="A120">
        <v>124</v>
      </c>
      <c r="B120" t="s">
        <v>34</v>
      </c>
      <c r="C120" t="s">
        <v>68</v>
      </c>
      <c r="D120" t="s">
        <v>275</v>
      </c>
      <c r="E120" s="1" t="s">
        <v>276</v>
      </c>
      <c r="F120" t="s">
        <v>18</v>
      </c>
      <c r="N120">
        <f t="shared" si="1"/>
        <v>0</v>
      </c>
    </row>
    <row r="121" spans="1:14" ht="48" x14ac:dyDescent="0.2">
      <c r="A121">
        <v>125</v>
      </c>
      <c r="B121" t="s">
        <v>34</v>
      </c>
      <c r="C121" t="s">
        <v>20</v>
      </c>
      <c r="D121" t="s">
        <v>277</v>
      </c>
      <c r="E121" s="1" t="s">
        <v>278</v>
      </c>
      <c r="F121" t="s">
        <v>18</v>
      </c>
      <c r="N121">
        <f t="shared" si="1"/>
        <v>0</v>
      </c>
    </row>
    <row r="122" spans="1:14" ht="48" hidden="1" x14ac:dyDescent="0.2">
      <c r="A122">
        <v>126</v>
      </c>
      <c r="B122" t="s">
        <v>19</v>
      </c>
      <c r="C122" t="s">
        <v>31</v>
      </c>
      <c r="D122" t="s">
        <v>279</v>
      </c>
      <c r="E122" s="1" t="s">
        <v>280</v>
      </c>
      <c r="F122" t="s">
        <v>18</v>
      </c>
      <c r="N122">
        <f t="shared" si="1"/>
        <v>0</v>
      </c>
    </row>
    <row r="123" spans="1:14" ht="96" x14ac:dyDescent="0.2">
      <c r="A123">
        <v>127</v>
      </c>
      <c r="B123" t="s">
        <v>34</v>
      </c>
      <c r="C123" t="s">
        <v>68</v>
      </c>
      <c r="D123" t="s">
        <v>281</v>
      </c>
      <c r="E123" s="1" t="s">
        <v>282</v>
      </c>
      <c r="F123" t="s">
        <v>18</v>
      </c>
      <c r="N123">
        <f t="shared" si="1"/>
        <v>0</v>
      </c>
    </row>
    <row r="124" spans="1:14" ht="80" hidden="1" x14ac:dyDescent="0.2">
      <c r="A124">
        <v>130</v>
      </c>
      <c r="B124" t="s">
        <v>19</v>
      </c>
      <c r="C124" t="s">
        <v>31</v>
      </c>
      <c r="D124" t="s">
        <v>283</v>
      </c>
      <c r="E124" s="1" t="s">
        <v>284</v>
      </c>
      <c r="F124" t="s">
        <v>18</v>
      </c>
      <c r="N124">
        <f t="shared" si="1"/>
        <v>0</v>
      </c>
    </row>
    <row r="125" spans="1:14" ht="48" hidden="1" x14ac:dyDescent="0.2">
      <c r="A125">
        <v>133</v>
      </c>
      <c r="B125" t="s">
        <v>19</v>
      </c>
      <c r="C125" t="s">
        <v>46</v>
      </c>
      <c r="D125" t="s">
        <v>285</v>
      </c>
      <c r="E125" s="1" t="s">
        <v>286</v>
      </c>
      <c r="F125" t="s">
        <v>18</v>
      </c>
      <c r="N125">
        <f t="shared" si="1"/>
        <v>0</v>
      </c>
    </row>
    <row r="126" spans="1:14" ht="64" x14ac:dyDescent="0.2">
      <c r="A126">
        <v>134</v>
      </c>
      <c r="B126" t="s">
        <v>34</v>
      </c>
      <c r="C126" t="s">
        <v>31</v>
      </c>
      <c r="D126" t="s">
        <v>287</v>
      </c>
      <c r="E126" s="1" t="s">
        <v>288</v>
      </c>
      <c r="F126" t="s">
        <v>18</v>
      </c>
      <c r="N126">
        <f t="shared" si="1"/>
        <v>0</v>
      </c>
    </row>
    <row r="127" spans="1:14" ht="64" hidden="1" x14ac:dyDescent="0.2">
      <c r="A127">
        <v>137</v>
      </c>
      <c r="B127" t="s">
        <v>19</v>
      </c>
      <c r="C127" t="s">
        <v>46</v>
      </c>
      <c r="D127" t="s">
        <v>289</v>
      </c>
      <c r="E127" s="1" t="s">
        <v>290</v>
      </c>
      <c r="F127" t="s">
        <v>18</v>
      </c>
      <c r="N127">
        <f t="shared" si="1"/>
        <v>0</v>
      </c>
    </row>
    <row r="128" spans="1:14" ht="64" hidden="1" x14ac:dyDescent="0.2">
      <c r="A128">
        <v>138</v>
      </c>
      <c r="B128" t="s">
        <v>14</v>
      </c>
      <c r="C128" t="s">
        <v>20</v>
      </c>
      <c r="D128" t="s">
        <v>291</v>
      </c>
      <c r="E128" s="1" t="s">
        <v>292</v>
      </c>
      <c r="F128" t="s">
        <v>18</v>
      </c>
      <c r="N128">
        <f t="shared" si="1"/>
        <v>0</v>
      </c>
    </row>
    <row r="129" spans="1:14" ht="80" hidden="1" x14ac:dyDescent="0.2">
      <c r="A129">
        <v>139</v>
      </c>
      <c r="B129" t="s">
        <v>19</v>
      </c>
      <c r="C129" t="s">
        <v>20</v>
      </c>
      <c r="D129" t="s">
        <v>293</v>
      </c>
      <c r="E129" s="1" t="s">
        <v>294</v>
      </c>
      <c r="F129" t="s">
        <v>18</v>
      </c>
      <c r="N129">
        <f t="shared" si="1"/>
        <v>0</v>
      </c>
    </row>
    <row r="130" spans="1:14" ht="80" hidden="1" x14ac:dyDescent="0.2">
      <c r="A130">
        <v>140</v>
      </c>
      <c r="B130" t="s">
        <v>19</v>
      </c>
      <c r="C130" t="s">
        <v>31</v>
      </c>
      <c r="D130" t="s">
        <v>295</v>
      </c>
      <c r="E130" s="1" t="s">
        <v>296</v>
      </c>
      <c r="F130" t="s">
        <v>18</v>
      </c>
      <c r="N130">
        <f t="shared" ref="N130:N193" si="2">COUNTA(G130:M130)</f>
        <v>0</v>
      </c>
    </row>
    <row r="131" spans="1:14" ht="32" hidden="1" x14ac:dyDescent="0.2">
      <c r="A131">
        <v>141</v>
      </c>
      <c r="B131" t="s">
        <v>14</v>
      </c>
      <c r="C131" t="s">
        <v>68</v>
      </c>
      <c r="D131" t="s">
        <v>297</v>
      </c>
      <c r="E131" s="1" t="s">
        <v>298</v>
      </c>
      <c r="F131" t="s">
        <v>18</v>
      </c>
      <c r="N131">
        <f t="shared" si="2"/>
        <v>0</v>
      </c>
    </row>
    <row r="132" spans="1:14" ht="48" hidden="1" x14ac:dyDescent="0.2">
      <c r="A132">
        <v>142</v>
      </c>
      <c r="B132" t="s">
        <v>14</v>
      </c>
      <c r="C132" t="s">
        <v>20</v>
      </c>
      <c r="D132" t="s">
        <v>299</v>
      </c>
      <c r="E132" s="1" t="s">
        <v>300</v>
      </c>
      <c r="F132" t="s">
        <v>18</v>
      </c>
      <c r="N132">
        <f t="shared" si="2"/>
        <v>0</v>
      </c>
    </row>
    <row r="133" spans="1:14" ht="96" hidden="1" x14ac:dyDescent="0.2">
      <c r="A133">
        <v>143</v>
      </c>
      <c r="B133" t="s">
        <v>19</v>
      </c>
      <c r="C133" t="s">
        <v>46</v>
      </c>
      <c r="D133" t="s">
        <v>301</v>
      </c>
      <c r="E133" s="1" t="s">
        <v>302</v>
      </c>
      <c r="F133" t="s">
        <v>18</v>
      </c>
      <c r="N133">
        <f t="shared" si="2"/>
        <v>0</v>
      </c>
    </row>
    <row r="134" spans="1:14" ht="96" hidden="1" x14ac:dyDescent="0.2">
      <c r="A134">
        <v>144</v>
      </c>
      <c r="B134" t="s">
        <v>19</v>
      </c>
      <c r="C134" t="s">
        <v>20</v>
      </c>
      <c r="D134" t="s">
        <v>303</v>
      </c>
      <c r="E134" s="1" t="s">
        <v>304</v>
      </c>
      <c r="F134" t="s">
        <v>18</v>
      </c>
      <c r="N134">
        <f t="shared" si="2"/>
        <v>0</v>
      </c>
    </row>
    <row r="135" spans="1:14" ht="32" x14ac:dyDescent="0.2">
      <c r="A135">
        <v>145</v>
      </c>
      <c r="B135" t="s">
        <v>34</v>
      </c>
      <c r="C135" t="s">
        <v>20</v>
      </c>
      <c r="D135" t="s">
        <v>305</v>
      </c>
      <c r="E135" s="1" t="s">
        <v>306</v>
      </c>
      <c r="F135" t="s">
        <v>18</v>
      </c>
      <c r="N135">
        <f t="shared" si="2"/>
        <v>0</v>
      </c>
    </row>
    <row r="136" spans="1:14" ht="80" hidden="1" x14ac:dyDescent="0.2">
      <c r="A136">
        <v>148</v>
      </c>
      <c r="B136" t="s">
        <v>19</v>
      </c>
      <c r="C136" t="s">
        <v>40</v>
      </c>
      <c r="D136" t="s">
        <v>307</v>
      </c>
      <c r="E136" s="1" t="s">
        <v>308</v>
      </c>
      <c r="F136" t="s">
        <v>18</v>
      </c>
      <c r="N136">
        <f t="shared" si="2"/>
        <v>0</v>
      </c>
    </row>
    <row r="137" spans="1:14" ht="80" hidden="1" x14ac:dyDescent="0.2">
      <c r="A137">
        <v>149</v>
      </c>
      <c r="B137" t="s">
        <v>14</v>
      </c>
      <c r="C137" t="s">
        <v>309</v>
      </c>
      <c r="D137" t="s">
        <v>310</v>
      </c>
      <c r="E137" s="1" t="s">
        <v>311</v>
      </c>
      <c r="F137" t="s">
        <v>18</v>
      </c>
      <c r="N137">
        <f t="shared" si="2"/>
        <v>0</v>
      </c>
    </row>
    <row r="138" spans="1:14" ht="48" hidden="1" x14ac:dyDescent="0.2">
      <c r="A138">
        <v>150</v>
      </c>
      <c r="B138" t="s">
        <v>14</v>
      </c>
      <c r="C138" t="s">
        <v>204</v>
      </c>
      <c r="D138" t="s">
        <v>312</v>
      </c>
      <c r="E138" s="1" t="s">
        <v>313</v>
      </c>
      <c r="F138" t="s">
        <v>18</v>
      </c>
      <c r="N138">
        <f t="shared" si="2"/>
        <v>0</v>
      </c>
    </row>
    <row r="139" spans="1:14" ht="96" hidden="1" x14ac:dyDescent="0.2">
      <c r="A139">
        <v>152</v>
      </c>
      <c r="B139" t="s">
        <v>19</v>
      </c>
      <c r="C139" t="s">
        <v>314</v>
      </c>
      <c r="D139" t="s">
        <v>315</v>
      </c>
      <c r="E139" s="1" t="s">
        <v>316</v>
      </c>
      <c r="F139" t="s">
        <v>18</v>
      </c>
      <c r="N139">
        <f t="shared" si="2"/>
        <v>0</v>
      </c>
    </row>
    <row r="140" spans="1:14" ht="96" x14ac:dyDescent="0.2">
      <c r="A140">
        <v>154</v>
      </c>
      <c r="B140" t="s">
        <v>34</v>
      </c>
      <c r="C140" t="s">
        <v>46</v>
      </c>
      <c r="D140" t="s">
        <v>317</v>
      </c>
      <c r="E140" s="1" t="s">
        <v>318</v>
      </c>
      <c r="F140" t="s">
        <v>18</v>
      </c>
      <c r="N140">
        <f t="shared" si="2"/>
        <v>0</v>
      </c>
    </row>
    <row r="141" spans="1:14" ht="48" hidden="1" x14ac:dyDescent="0.2">
      <c r="A141">
        <v>155</v>
      </c>
      <c r="B141" t="s">
        <v>19</v>
      </c>
      <c r="C141" t="s">
        <v>319</v>
      </c>
      <c r="D141" t="s">
        <v>320</v>
      </c>
      <c r="E141" s="1" t="s">
        <v>321</v>
      </c>
      <c r="F141" t="s">
        <v>18</v>
      </c>
      <c r="N141">
        <f t="shared" si="2"/>
        <v>0</v>
      </c>
    </row>
    <row r="142" spans="1:14" ht="48" hidden="1" x14ac:dyDescent="0.2">
      <c r="A142">
        <v>156</v>
      </c>
      <c r="B142" t="s">
        <v>19</v>
      </c>
      <c r="C142" t="s">
        <v>31</v>
      </c>
      <c r="D142" t="s">
        <v>322</v>
      </c>
      <c r="E142" s="1" t="s">
        <v>323</v>
      </c>
      <c r="F142" t="s">
        <v>18</v>
      </c>
      <c r="N142">
        <f t="shared" si="2"/>
        <v>0</v>
      </c>
    </row>
    <row r="143" spans="1:14" ht="64" x14ac:dyDescent="0.2">
      <c r="A143">
        <v>157</v>
      </c>
      <c r="B143" t="s">
        <v>34</v>
      </c>
      <c r="C143" t="s">
        <v>46</v>
      </c>
      <c r="D143" t="s">
        <v>324</v>
      </c>
      <c r="E143" s="1" t="s">
        <v>325</v>
      </c>
      <c r="F143" t="s">
        <v>18</v>
      </c>
      <c r="N143">
        <f t="shared" si="2"/>
        <v>0</v>
      </c>
    </row>
    <row r="144" spans="1:14" ht="112" hidden="1" x14ac:dyDescent="0.2">
      <c r="A144">
        <v>158</v>
      </c>
      <c r="B144" t="s">
        <v>19</v>
      </c>
      <c r="C144" t="s">
        <v>326</v>
      </c>
      <c r="D144" t="s">
        <v>327</v>
      </c>
      <c r="E144" s="1" t="s">
        <v>328</v>
      </c>
      <c r="F144" t="s">
        <v>18</v>
      </c>
      <c r="N144">
        <f t="shared" si="2"/>
        <v>0</v>
      </c>
    </row>
    <row r="145" spans="1:14" ht="48" x14ac:dyDescent="0.2">
      <c r="A145">
        <v>159</v>
      </c>
      <c r="B145" t="s">
        <v>34</v>
      </c>
      <c r="C145" t="s">
        <v>20</v>
      </c>
      <c r="D145" t="s">
        <v>329</v>
      </c>
      <c r="E145" s="1" t="s">
        <v>330</v>
      </c>
      <c r="F145" t="s">
        <v>81</v>
      </c>
      <c r="G145" s="5">
        <v>46035</v>
      </c>
      <c r="H145" s="5">
        <v>46015</v>
      </c>
      <c r="I145" s="5"/>
      <c r="J145" s="5">
        <v>46022</v>
      </c>
      <c r="K145" s="5">
        <v>46026</v>
      </c>
      <c r="L145" s="5"/>
      <c r="M145" s="5"/>
      <c r="N145">
        <f t="shared" si="2"/>
        <v>4</v>
      </c>
    </row>
    <row r="146" spans="1:14" ht="80" hidden="1" x14ac:dyDescent="0.2">
      <c r="A146">
        <v>160</v>
      </c>
      <c r="B146" t="s">
        <v>14</v>
      </c>
      <c r="C146" t="s">
        <v>15</v>
      </c>
      <c r="D146" t="s">
        <v>331</v>
      </c>
      <c r="E146" s="1" t="s">
        <v>332</v>
      </c>
      <c r="F146" t="s">
        <v>18</v>
      </c>
      <c r="N146">
        <f t="shared" si="2"/>
        <v>0</v>
      </c>
    </row>
    <row r="147" spans="1:14" ht="48" x14ac:dyDescent="0.2">
      <c r="A147">
        <v>161</v>
      </c>
      <c r="B147" t="s">
        <v>34</v>
      </c>
      <c r="C147" t="s">
        <v>31</v>
      </c>
      <c r="D147" t="s">
        <v>333</v>
      </c>
      <c r="E147" s="1" t="s">
        <v>334</v>
      </c>
      <c r="F147" t="s">
        <v>18</v>
      </c>
      <c r="N147">
        <f t="shared" si="2"/>
        <v>0</v>
      </c>
    </row>
    <row r="148" spans="1:14" ht="48" hidden="1" x14ac:dyDescent="0.2">
      <c r="A148">
        <v>162</v>
      </c>
      <c r="B148" t="s">
        <v>19</v>
      </c>
      <c r="C148" t="s">
        <v>161</v>
      </c>
      <c r="D148" t="s">
        <v>335</v>
      </c>
      <c r="E148" s="1" t="s">
        <v>336</v>
      </c>
      <c r="F148" t="s">
        <v>18</v>
      </c>
      <c r="N148">
        <f t="shared" si="2"/>
        <v>0</v>
      </c>
    </row>
    <row r="149" spans="1:14" ht="96" hidden="1" x14ac:dyDescent="0.2">
      <c r="A149">
        <v>163</v>
      </c>
      <c r="B149" t="s">
        <v>14</v>
      </c>
      <c r="C149" t="s">
        <v>26</v>
      </c>
      <c r="D149" t="s">
        <v>337</v>
      </c>
      <c r="E149" s="1" t="s">
        <v>338</v>
      </c>
      <c r="F149" t="s">
        <v>81</v>
      </c>
      <c r="J149" s="5">
        <v>46041</v>
      </c>
      <c r="N149">
        <f t="shared" si="2"/>
        <v>1</v>
      </c>
    </row>
    <row r="150" spans="1:14" ht="48" hidden="1" x14ac:dyDescent="0.2">
      <c r="A150">
        <v>164</v>
      </c>
      <c r="B150" t="s">
        <v>19</v>
      </c>
      <c r="C150" t="s">
        <v>20</v>
      </c>
      <c r="D150" t="s">
        <v>339</v>
      </c>
      <c r="E150" s="1" t="s">
        <v>340</v>
      </c>
      <c r="F150" t="s">
        <v>18</v>
      </c>
      <c r="N150">
        <f t="shared" si="2"/>
        <v>0</v>
      </c>
    </row>
    <row r="151" spans="1:14" ht="112" hidden="1" x14ac:dyDescent="0.2">
      <c r="A151">
        <v>165</v>
      </c>
      <c r="B151" t="s">
        <v>19</v>
      </c>
      <c r="C151" t="s">
        <v>20</v>
      </c>
      <c r="D151" t="s">
        <v>341</v>
      </c>
      <c r="E151" s="1" t="s">
        <v>342</v>
      </c>
      <c r="F151" t="s">
        <v>18</v>
      </c>
      <c r="N151">
        <f t="shared" si="2"/>
        <v>0</v>
      </c>
    </row>
    <row r="152" spans="1:14" ht="112" hidden="1" x14ac:dyDescent="0.2">
      <c r="A152">
        <v>166</v>
      </c>
      <c r="B152" t="s">
        <v>19</v>
      </c>
      <c r="C152" t="s">
        <v>15</v>
      </c>
      <c r="D152" t="s">
        <v>343</v>
      </c>
      <c r="E152" s="1" t="s">
        <v>344</v>
      </c>
      <c r="F152" t="s">
        <v>18</v>
      </c>
      <c r="N152">
        <f t="shared" si="2"/>
        <v>0</v>
      </c>
    </row>
    <row r="153" spans="1:14" ht="48" hidden="1" x14ac:dyDescent="0.2">
      <c r="A153">
        <v>167</v>
      </c>
      <c r="B153" t="s">
        <v>14</v>
      </c>
      <c r="C153" t="s">
        <v>37</v>
      </c>
      <c r="D153" t="s">
        <v>345</v>
      </c>
      <c r="E153" s="1" t="s">
        <v>346</v>
      </c>
      <c r="F153" t="s">
        <v>18</v>
      </c>
      <c r="N153">
        <f t="shared" si="2"/>
        <v>0</v>
      </c>
    </row>
    <row r="154" spans="1:14" ht="48" hidden="1" x14ac:dyDescent="0.2">
      <c r="A154">
        <v>168</v>
      </c>
      <c r="B154" t="s">
        <v>19</v>
      </c>
      <c r="C154" t="s">
        <v>31</v>
      </c>
      <c r="D154" t="s">
        <v>347</v>
      </c>
      <c r="E154" s="1" t="s">
        <v>348</v>
      </c>
      <c r="F154" t="s">
        <v>18</v>
      </c>
      <c r="N154">
        <f t="shared" si="2"/>
        <v>0</v>
      </c>
    </row>
    <row r="155" spans="1:14" ht="32" hidden="1" x14ac:dyDescent="0.2">
      <c r="A155">
        <v>169</v>
      </c>
      <c r="B155" t="s">
        <v>19</v>
      </c>
      <c r="C155" t="s">
        <v>20</v>
      </c>
      <c r="D155" t="s">
        <v>349</v>
      </c>
      <c r="E155" s="1" t="s">
        <v>350</v>
      </c>
      <c r="F155" t="s">
        <v>18</v>
      </c>
      <c r="N155">
        <f t="shared" si="2"/>
        <v>0</v>
      </c>
    </row>
    <row r="156" spans="1:14" ht="144" hidden="1" x14ac:dyDescent="0.2">
      <c r="A156">
        <v>170</v>
      </c>
      <c r="B156" t="s">
        <v>19</v>
      </c>
      <c r="C156" t="s">
        <v>31</v>
      </c>
      <c r="D156" t="s">
        <v>351</v>
      </c>
      <c r="E156" s="1" t="s">
        <v>352</v>
      </c>
      <c r="F156" t="s">
        <v>18</v>
      </c>
      <c r="N156">
        <f t="shared" si="2"/>
        <v>0</v>
      </c>
    </row>
    <row r="157" spans="1:14" ht="144" x14ac:dyDescent="0.2">
      <c r="A157">
        <v>171</v>
      </c>
      <c r="B157" t="s">
        <v>34</v>
      </c>
      <c r="C157" t="s">
        <v>46</v>
      </c>
      <c r="D157" t="s">
        <v>353</v>
      </c>
      <c r="E157" s="1" t="s">
        <v>354</v>
      </c>
      <c r="F157" t="s">
        <v>18</v>
      </c>
      <c r="N157">
        <f t="shared" si="2"/>
        <v>0</v>
      </c>
    </row>
    <row r="158" spans="1:14" ht="128" hidden="1" x14ac:dyDescent="0.2">
      <c r="A158">
        <v>172</v>
      </c>
      <c r="B158" t="s">
        <v>19</v>
      </c>
      <c r="C158" t="s">
        <v>100</v>
      </c>
      <c r="D158" t="s">
        <v>355</v>
      </c>
      <c r="E158" s="1" t="s">
        <v>356</v>
      </c>
      <c r="F158" t="s">
        <v>18</v>
      </c>
      <c r="N158">
        <f t="shared" si="2"/>
        <v>0</v>
      </c>
    </row>
    <row r="159" spans="1:14" ht="80" x14ac:dyDescent="0.2">
      <c r="A159">
        <v>173</v>
      </c>
      <c r="B159" t="s">
        <v>34</v>
      </c>
      <c r="C159" t="s">
        <v>23</v>
      </c>
      <c r="D159" t="s">
        <v>357</v>
      </c>
      <c r="E159" s="1" t="s">
        <v>358</v>
      </c>
      <c r="F159" t="s">
        <v>18</v>
      </c>
      <c r="N159">
        <f t="shared" si="2"/>
        <v>0</v>
      </c>
    </row>
    <row r="160" spans="1:14" ht="48" hidden="1" x14ac:dyDescent="0.2">
      <c r="A160">
        <v>174</v>
      </c>
      <c r="B160" t="s">
        <v>19</v>
      </c>
      <c r="C160" t="s">
        <v>68</v>
      </c>
      <c r="E160" s="1" t="s">
        <v>359</v>
      </c>
      <c r="F160" t="s">
        <v>18</v>
      </c>
      <c r="N160">
        <f t="shared" si="2"/>
        <v>0</v>
      </c>
    </row>
    <row r="161" spans="1:14" ht="128" x14ac:dyDescent="0.2">
      <c r="A161">
        <v>175</v>
      </c>
      <c r="B161" t="s">
        <v>34</v>
      </c>
      <c r="C161" t="s">
        <v>20</v>
      </c>
      <c r="D161" t="s">
        <v>360</v>
      </c>
      <c r="E161" s="1" t="s">
        <v>361</v>
      </c>
      <c r="F161" t="s">
        <v>18</v>
      </c>
      <c r="N161">
        <f t="shared" si="2"/>
        <v>0</v>
      </c>
    </row>
    <row r="162" spans="1:14" ht="64" x14ac:dyDescent="0.2">
      <c r="A162">
        <v>176</v>
      </c>
      <c r="B162" t="s">
        <v>34</v>
      </c>
      <c r="C162" t="s">
        <v>362</v>
      </c>
      <c r="D162" t="s">
        <v>363</v>
      </c>
      <c r="E162" s="1" t="s">
        <v>364</v>
      </c>
      <c r="F162" t="s">
        <v>18</v>
      </c>
      <c r="N162">
        <f t="shared" si="2"/>
        <v>0</v>
      </c>
    </row>
    <row r="163" spans="1:14" ht="64" x14ac:dyDescent="0.2">
      <c r="A163">
        <v>177</v>
      </c>
      <c r="B163" t="s">
        <v>34</v>
      </c>
      <c r="C163" t="s">
        <v>37</v>
      </c>
      <c r="D163" t="s">
        <v>365</v>
      </c>
      <c r="E163" s="1" t="s">
        <v>366</v>
      </c>
      <c r="F163" t="s">
        <v>18</v>
      </c>
      <c r="N163">
        <f t="shared" si="2"/>
        <v>0</v>
      </c>
    </row>
    <row r="164" spans="1:14" ht="112" hidden="1" x14ac:dyDescent="0.2">
      <c r="A164">
        <v>178</v>
      </c>
      <c r="B164" t="s">
        <v>14</v>
      </c>
      <c r="C164" t="s">
        <v>118</v>
      </c>
      <c r="D164" t="s">
        <v>367</v>
      </c>
      <c r="E164" s="1" t="s">
        <v>368</v>
      </c>
      <c r="F164" t="s">
        <v>18</v>
      </c>
      <c r="N164">
        <f t="shared" si="2"/>
        <v>0</v>
      </c>
    </row>
    <row r="165" spans="1:14" ht="48" hidden="1" x14ac:dyDescent="0.2">
      <c r="A165">
        <v>179</v>
      </c>
      <c r="B165" t="s">
        <v>19</v>
      </c>
      <c r="C165" t="s">
        <v>20</v>
      </c>
      <c r="D165" t="s">
        <v>369</v>
      </c>
      <c r="E165" s="1" t="s">
        <v>370</v>
      </c>
      <c r="F165" t="s">
        <v>18</v>
      </c>
      <c r="N165">
        <f t="shared" si="2"/>
        <v>0</v>
      </c>
    </row>
    <row r="166" spans="1:14" ht="96" hidden="1" x14ac:dyDescent="0.2">
      <c r="A166">
        <v>180</v>
      </c>
      <c r="B166" t="s">
        <v>19</v>
      </c>
      <c r="C166" t="s">
        <v>20</v>
      </c>
      <c r="D166" t="s">
        <v>371</v>
      </c>
      <c r="E166" s="1" t="s">
        <v>372</v>
      </c>
      <c r="F166" t="s">
        <v>18</v>
      </c>
      <c r="N166">
        <f t="shared" si="2"/>
        <v>0</v>
      </c>
    </row>
    <row r="167" spans="1:14" ht="48" hidden="1" x14ac:dyDescent="0.2">
      <c r="A167">
        <v>181</v>
      </c>
      <c r="B167" t="s">
        <v>14</v>
      </c>
      <c r="C167" t="s">
        <v>20</v>
      </c>
      <c r="D167" t="s">
        <v>373</v>
      </c>
      <c r="E167" s="1" t="s">
        <v>374</v>
      </c>
      <c r="F167" t="s">
        <v>18</v>
      </c>
      <c r="N167">
        <f t="shared" si="2"/>
        <v>0</v>
      </c>
    </row>
    <row r="168" spans="1:14" ht="80" hidden="1" x14ac:dyDescent="0.2">
      <c r="A168">
        <v>182</v>
      </c>
      <c r="B168" t="s">
        <v>19</v>
      </c>
      <c r="C168" t="s">
        <v>31</v>
      </c>
      <c r="D168" t="s">
        <v>375</v>
      </c>
      <c r="E168" s="1" t="s">
        <v>376</v>
      </c>
      <c r="F168" t="s">
        <v>18</v>
      </c>
      <c r="N168">
        <f t="shared" si="2"/>
        <v>0</v>
      </c>
    </row>
    <row r="169" spans="1:14" ht="32" hidden="1" x14ac:dyDescent="0.2">
      <c r="A169">
        <v>183</v>
      </c>
      <c r="B169" t="s">
        <v>14</v>
      </c>
      <c r="C169" t="s">
        <v>377</v>
      </c>
      <c r="D169" t="s">
        <v>378</v>
      </c>
      <c r="E169" s="1" t="s">
        <v>378</v>
      </c>
      <c r="F169" t="s">
        <v>18</v>
      </c>
      <c r="N169">
        <f t="shared" si="2"/>
        <v>0</v>
      </c>
    </row>
    <row r="170" spans="1:14" ht="32" x14ac:dyDescent="0.2">
      <c r="A170">
        <v>184</v>
      </c>
      <c r="B170" t="s">
        <v>34</v>
      </c>
      <c r="C170" t="s">
        <v>46</v>
      </c>
      <c r="D170" t="s">
        <v>379</v>
      </c>
      <c r="E170" s="1" t="s">
        <v>380</v>
      </c>
      <c r="F170" t="s">
        <v>81</v>
      </c>
      <c r="G170" s="5">
        <v>46025</v>
      </c>
      <c r="H170" s="5"/>
      <c r="I170" s="5"/>
      <c r="J170" s="5">
        <v>46015</v>
      </c>
      <c r="K170" s="5">
        <v>46026</v>
      </c>
      <c r="L170" s="5"/>
      <c r="M170" s="5"/>
      <c r="N170">
        <f t="shared" si="2"/>
        <v>3</v>
      </c>
    </row>
    <row r="171" spans="1:14" ht="64" x14ac:dyDescent="0.2">
      <c r="A171">
        <v>185</v>
      </c>
      <c r="B171" t="s">
        <v>34</v>
      </c>
      <c r="C171" t="s">
        <v>20</v>
      </c>
      <c r="D171" t="s">
        <v>381</v>
      </c>
      <c r="E171" s="1" t="s">
        <v>382</v>
      </c>
      <c r="F171" t="s">
        <v>18</v>
      </c>
      <c r="N171">
        <f t="shared" si="2"/>
        <v>0</v>
      </c>
    </row>
    <row r="172" spans="1:14" ht="64" hidden="1" x14ac:dyDescent="0.2">
      <c r="A172">
        <v>186</v>
      </c>
      <c r="B172" t="s">
        <v>14</v>
      </c>
      <c r="C172" t="s">
        <v>68</v>
      </c>
      <c r="D172" t="s">
        <v>383</v>
      </c>
      <c r="E172" s="1" t="s">
        <v>384</v>
      </c>
      <c r="F172" t="s">
        <v>18</v>
      </c>
      <c r="N172">
        <f t="shared" si="2"/>
        <v>0</v>
      </c>
    </row>
    <row r="173" spans="1:14" ht="112" x14ac:dyDescent="0.2">
      <c r="A173">
        <v>187</v>
      </c>
      <c r="B173" t="s">
        <v>34</v>
      </c>
      <c r="C173" t="s">
        <v>20</v>
      </c>
      <c r="D173" t="s">
        <v>385</v>
      </c>
      <c r="E173" s="1" t="s">
        <v>386</v>
      </c>
      <c r="F173" t="s">
        <v>18</v>
      </c>
      <c r="N173">
        <f t="shared" si="2"/>
        <v>0</v>
      </c>
    </row>
    <row r="174" spans="1:14" ht="64" hidden="1" x14ac:dyDescent="0.2">
      <c r="A174">
        <v>188</v>
      </c>
      <c r="B174" t="s">
        <v>19</v>
      </c>
      <c r="C174" t="s">
        <v>20</v>
      </c>
      <c r="D174" t="s">
        <v>387</v>
      </c>
      <c r="E174" s="1" t="s">
        <v>388</v>
      </c>
      <c r="F174" t="s">
        <v>18</v>
      </c>
      <c r="N174">
        <f t="shared" si="2"/>
        <v>0</v>
      </c>
    </row>
    <row r="175" spans="1:14" ht="48" x14ac:dyDescent="0.2">
      <c r="A175">
        <v>189</v>
      </c>
      <c r="B175" t="s">
        <v>34</v>
      </c>
      <c r="C175" t="s">
        <v>20</v>
      </c>
      <c r="D175" t="s">
        <v>389</v>
      </c>
      <c r="E175" s="1" t="s">
        <v>390</v>
      </c>
      <c r="F175" t="s">
        <v>81</v>
      </c>
      <c r="G175" s="5">
        <v>46017</v>
      </c>
      <c r="H175" s="5"/>
      <c r="I175" s="5"/>
      <c r="J175" s="5">
        <v>46025</v>
      </c>
      <c r="K175" s="5"/>
      <c r="L175" s="5"/>
      <c r="M175" s="5"/>
      <c r="N175">
        <f t="shared" si="2"/>
        <v>2</v>
      </c>
    </row>
    <row r="176" spans="1:14" ht="80" hidden="1" x14ac:dyDescent="0.2">
      <c r="A176">
        <v>190</v>
      </c>
      <c r="B176" t="s">
        <v>19</v>
      </c>
      <c r="C176" t="s">
        <v>31</v>
      </c>
      <c r="D176" t="s">
        <v>391</v>
      </c>
      <c r="E176" s="1" t="s">
        <v>392</v>
      </c>
      <c r="F176" t="s">
        <v>18</v>
      </c>
      <c r="N176">
        <f t="shared" si="2"/>
        <v>0</v>
      </c>
    </row>
    <row r="177" spans="1:14" ht="96" x14ac:dyDescent="0.2">
      <c r="A177">
        <v>191</v>
      </c>
      <c r="B177" t="s">
        <v>34</v>
      </c>
      <c r="C177" t="s">
        <v>23</v>
      </c>
      <c r="D177" t="s">
        <v>393</v>
      </c>
      <c r="E177" s="1" t="s">
        <v>394</v>
      </c>
      <c r="F177" t="s">
        <v>18</v>
      </c>
      <c r="N177">
        <f t="shared" si="2"/>
        <v>0</v>
      </c>
    </row>
    <row r="178" spans="1:14" ht="96" hidden="1" x14ac:dyDescent="0.2">
      <c r="A178">
        <v>192</v>
      </c>
      <c r="B178" t="s">
        <v>19</v>
      </c>
      <c r="C178" t="s">
        <v>20</v>
      </c>
      <c r="D178" t="s">
        <v>395</v>
      </c>
      <c r="E178" s="1" t="s">
        <v>396</v>
      </c>
      <c r="F178" t="s">
        <v>18</v>
      </c>
      <c r="N178">
        <f t="shared" si="2"/>
        <v>0</v>
      </c>
    </row>
    <row r="179" spans="1:14" ht="160" hidden="1" x14ac:dyDescent="0.2">
      <c r="A179">
        <v>193</v>
      </c>
      <c r="B179" t="s">
        <v>14</v>
      </c>
      <c r="C179" t="s">
        <v>397</v>
      </c>
      <c r="D179" t="s">
        <v>123</v>
      </c>
      <c r="E179" s="1" t="s">
        <v>398</v>
      </c>
      <c r="F179" t="s">
        <v>18</v>
      </c>
      <c r="N179">
        <f t="shared" si="2"/>
        <v>0</v>
      </c>
    </row>
    <row r="180" spans="1:14" ht="64" x14ac:dyDescent="0.2">
      <c r="A180">
        <v>194</v>
      </c>
      <c r="B180" t="s">
        <v>34</v>
      </c>
      <c r="C180" t="s">
        <v>31</v>
      </c>
      <c r="D180" t="s">
        <v>399</v>
      </c>
      <c r="E180" s="1" t="s">
        <v>400</v>
      </c>
      <c r="F180" t="s">
        <v>18</v>
      </c>
      <c r="N180">
        <f t="shared" si="2"/>
        <v>0</v>
      </c>
    </row>
    <row r="181" spans="1:14" ht="96" hidden="1" x14ac:dyDescent="0.2">
      <c r="A181">
        <v>195</v>
      </c>
      <c r="B181" t="s">
        <v>14</v>
      </c>
      <c r="C181" t="s">
        <v>20</v>
      </c>
      <c r="D181" t="s">
        <v>401</v>
      </c>
      <c r="E181" s="1" t="s">
        <v>402</v>
      </c>
      <c r="F181" t="s">
        <v>18</v>
      </c>
      <c r="N181">
        <f t="shared" si="2"/>
        <v>0</v>
      </c>
    </row>
    <row r="182" spans="1:14" ht="64" x14ac:dyDescent="0.2">
      <c r="A182">
        <v>196</v>
      </c>
      <c r="B182" t="s">
        <v>34</v>
      </c>
      <c r="C182" t="s">
        <v>40</v>
      </c>
      <c r="D182" t="s">
        <v>403</v>
      </c>
      <c r="E182" s="1" t="s">
        <v>404</v>
      </c>
      <c r="F182" t="s">
        <v>18</v>
      </c>
      <c r="N182">
        <f t="shared" si="2"/>
        <v>0</v>
      </c>
    </row>
    <row r="183" spans="1:14" ht="32" x14ac:dyDescent="0.2">
      <c r="A183">
        <v>197</v>
      </c>
      <c r="B183" t="s">
        <v>34</v>
      </c>
      <c r="C183" t="s">
        <v>46</v>
      </c>
      <c r="D183" t="s">
        <v>405</v>
      </c>
      <c r="E183" s="1" t="s">
        <v>406</v>
      </c>
      <c r="F183" t="s">
        <v>81</v>
      </c>
      <c r="J183" s="5">
        <v>46044</v>
      </c>
      <c r="N183">
        <f t="shared" si="2"/>
        <v>1</v>
      </c>
    </row>
    <row r="184" spans="1:14" ht="64" hidden="1" x14ac:dyDescent="0.2">
      <c r="A184">
        <v>198</v>
      </c>
      <c r="B184" t="s">
        <v>19</v>
      </c>
      <c r="C184" t="s">
        <v>20</v>
      </c>
      <c r="D184" t="s">
        <v>407</v>
      </c>
      <c r="E184" s="1" t="s">
        <v>408</v>
      </c>
      <c r="F184" t="s">
        <v>18</v>
      </c>
      <c r="N184">
        <f t="shared" si="2"/>
        <v>0</v>
      </c>
    </row>
    <row r="185" spans="1:14" ht="64" hidden="1" x14ac:dyDescent="0.2">
      <c r="A185">
        <v>199</v>
      </c>
      <c r="B185" t="s">
        <v>14</v>
      </c>
      <c r="C185" t="s">
        <v>31</v>
      </c>
      <c r="D185" t="s">
        <v>409</v>
      </c>
      <c r="E185" s="1" t="s">
        <v>410</v>
      </c>
      <c r="F185" t="s">
        <v>18</v>
      </c>
      <c r="N185">
        <f t="shared" si="2"/>
        <v>0</v>
      </c>
    </row>
    <row r="186" spans="1:14" ht="64" hidden="1" x14ac:dyDescent="0.2">
      <c r="A186">
        <v>200</v>
      </c>
      <c r="B186" t="s">
        <v>14</v>
      </c>
      <c r="C186" t="s">
        <v>68</v>
      </c>
      <c r="D186" t="s">
        <v>411</v>
      </c>
      <c r="E186" s="1" t="s">
        <v>412</v>
      </c>
      <c r="F186" t="s">
        <v>18</v>
      </c>
      <c r="N186">
        <f t="shared" si="2"/>
        <v>0</v>
      </c>
    </row>
    <row r="187" spans="1:14" ht="112" x14ac:dyDescent="0.2">
      <c r="A187">
        <v>201</v>
      </c>
      <c r="B187" t="s">
        <v>34</v>
      </c>
      <c r="C187" t="s">
        <v>20</v>
      </c>
      <c r="D187" t="s">
        <v>413</v>
      </c>
      <c r="E187" s="1" t="s">
        <v>414</v>
      </c>
      <c r="F187" t="s">
        <v>18</v>
      </c>
      <c r="N187">
        <f t="shared" si="2"/>
        <v>0</v>
      </c>
    </row>
    <row r="188" spans="1:14" ht="48" x14ac:dyDescent="0.2">
      <c r="A188">
        <v>202</v>
      </c>
      <c r="B188" t="s">
        <v>34</v>
      </c>
      <c r="C188" t="s">
        <v>82</v>
      </c>
      <c r="D188" t="s">
        <v>415</v>
      </c>
      <c r="E188" s="1" t="s">
        <v>416</v>
      </c>
      <c r="F188" t="s">
        <v>18</v>
      </c>
      <c r="N188">
        <f t="shared" si="2"/>
        <v>0</v>
      </c>
    </row>
    <row r="189" spans="1:14" ht="64" hidden="1" x14ac:dyDescent="0.2">
      <c r="A189">
        <v>203</v>
      </c>
      <c r="B189" t="s">
        <v>19</v>
      </c>
      <c r="C189" t="s">
        <v>15</v>
      </c>
      <c r="D189" t="s">
        <v>417</v>
      </c>
      <c r="E189" s="1" t="s">
        <v>418</v>
      </c>
      <c r="F189" t="s">
        <v>18</v>
      </c>
      <c r="N189">
        <f t="shared" si="2"/>
        <v>0</v>
      </c>
    </row>
    <row r="190" spans="1:14" ht="48" x14ac:dyDescent="0.2">
      <c r="A190">
        <v>204</v>
      </c>
      <c r="B190" t="s">
        <v>34</v>
      </c>
      <c r="C190" t="s">
        <v>46</v>
      </c>
      <c r="D190" t="s">
        <v>419</v>
      </c>
      <c r="E190" s="1" t="s">
        <v>420</v>
      </c>
      <c r="F190" t="s">
        <v>18</v>
      </c>
      <c r="N190">
        <f t="shared" si="2"/>
        <v>0</v>
      </c>
    </row>
    <row r="191" spans="1:14" ht="32" x14ac:dyDescent="0.2">
      <c r="A191">
        <v>205</v>
      </c>
      <c r="B191" t="s">
        <v>34</v>
      </c>
      <c r="C191" t="s">
        <v>421</v>
      </c>
      <c r="D191" t="s">
        <v>422</v>
      </c>
      <c r="E191" s="1" t="s">
        <v>423</v>
      </c>
      <c r="F191" t="s">
        <v>18</v>
      </c>
      <c r="N191">
        <f t="shared" si="2"/>
        <v>0</v>
      </c>
    </row>
    <row r="192" spans="1:14" ht="96" x14ac:dyDescent="0.2">
      <c r="A192">
        <v>206</v>
      </c>
      <c r="B192" t="s">
        <v>34</v>
      </c>
      <c r="C192" t="s">
        <v>43</v>
      </c>
      <c r="D192" t="s">
        <v>424</v>
      </c>
      <c r="E192" s="1" t="s">
        <v>425</v>
      </c>
      <c r="F192" t="s">
        <v>18</v>
      </c>
      <c r="N192">
        <f t="shared" si="2"/>
        <v>0</v>
      </c>
    </row>
    <row r="193" spans="1:14" ht="48" hidden="1" x14ac:dyDescent="0.2">
      <c r="A193">
        <v>207</v>
      </c>
      <c r="B193" t="s">
        <v>19</v>
      </c>
      <c r="C193" t="s">
        <v>100</v>
      </c>
      <c r="D193" t="s">
        <v>426</v>
      </c>
      <c r="E193" s="1" t="s">
        <v>427</v>
      </c>
      <c r="F193" t="s">
        <v>18</v>
      </c>
      <c r="N193">
        <f t="shared" si="2"/>
        <v>0</v>
      </c>
    </row>
    <row r="194" spans="1:14" ht="64" hidden="1" x14ac:dyDescent="0.2">
      <c r="A194">
        <v>208</v>
      </c>
      <c r="B194" t="s">
        <v>19</v>
      </c>
      <c r="C194" t="s">
        <v>204</v>
      </c>
      <c r="D194" t="s">
        <v>428</v>
      </c>
      <c r="E194" s="1" t="s">
        <v>429</v>
      </c>
      <c r="F194" t="s">
        <v>18</v>
      </c>
      <c r="N194">
        <f t="shared" ref="N194:N257" si="3">COUNTA(G194:M194)</f>
        <v>0</v>
      </c>
    </row>
    <row r="195" spans="1:14" ht="64" hidden="1" x14ac:dyDescent="0.2">
      <c r="A195">
        <v>209</v>
      </c>
      <c r="B195" t="s">
        <v>14</v>
      </c>
      <c r="C195" t="s">
        <v>430</v>
      </c>
      <c r="D195" t="s">
        <v>431</v>
      </c>
      <c r="E195" s="1" t="s">
        <v>432</v>
      </c>
      <c r="F195" t="s">
        <v>18</v>
      </c>
      <c r="N195">
        <f t="shared" si="3"/>
        <v>0</v>
      </c>
    </row>
    <row r="196" spans="1:14" ht="80" x14ac:dyDescent="0.2">
      <c r="A196">
        <v>210</v>
      </c>
      <c r="B196" t="s">
        <v>34</v>
      </c>
      <c r="C196" t="s">
        <v>40</v>
      </c>
      <c r="D196" t="s">
        <v>433</v>
      </c>
      <c r="E196" s="1" t="s">
        <v>434</v>
      </c>
      <c r="F196" t="s">
        <v>18</v>
      </c>
      <c r="N196">
        <f t="shared" si="3"/>
        <v>0</v>
      </c>
    </row>
    <row r="197" spans="1:14" ht="48" hidden="1" x14ac:dyDescent="0.2">
      <c r="A197">
        <v>211</v>
      </c>
      <c r="B197" t="s">
        <v>19</v>
      </c>
      <c r="C197" t="s">
        <v>68</v>
      </c>
      <c r="D197" t="s">
        <v>435</v>
      </c>
      <c r="E197" s="1" t="s">
        <v>436</v>
      </c>
      <c r="F197" t="s">
        <v>18</v>
      </c>
      <c r="N197">
        <f t="shared" si="3"/>
        <v>0</v>
      </c>
    </row>
    <row r="198" spans="1:14" ht="64" x14ac:dyDescent="0.2">
      <c r="A198">
        <v>212</v>
      </c>
      <c r="B198" t="s">
        <v>34</v>
      </c>
      <c r="C198" t="s">
        <v>100</v>
      </c>
      <c r="D198" t="s">
        <v>437</v>
      </c>
      <c r="E198" s="1" t="s">
        <v>438</v>
      </c>
      <c r="F198" t="s">
        <v>18</v>
      </c>
      <c r="N198">
        <f t="shared" si="3"/>
        <v>0</v>
      </c>
    </row>
    <row r="199" spans="1:14" ht="80" hidden="1" x14ac:dyDescent="0.2">
      <c r="A199">
        <v>213</v>
      </c>
      <c r="B199" t="s">
        <v>19</v>
      </c>
      <c r="C199" t="s">
        <v>65</v>
      </c>
      <c r="D199" t="s">
        <v>439</v>
      </c>
      <c r="E199" s="1" t="s">
        <v>440</v>
      </c>
      <c r="F199" t="s">
        <v>18</v>
      </c>
      <c r="N199">
        <f t="shared" si="3"/>
        <v>0</v>
      </c>
    </row>
    <row r="200" spans="1:14" ht="32" x14ac:dyDescent="0.2">
      <c r="A200">
        <v>214</v>
      </c>
      <c r="B200" t="s">
        <v>34</v>
      </c>
      <c r="C200" t="s">
        <v>23</v>
      </c>
      <c r="D200" t="s">
        <v>441</v>
      </c>
      <c r="E200" s="1" t="s">
        <v>442</v>
      </c>
      <c r="F200" t="s">
        <v>18</v>
      </c>
      <c r="N200">
        <f t="shared" si="3"/>
        <v>0</v>
      </c>
    </row>
    <row r="201" spans="1:14" ht="160" hidden="1" x14ac:dyDescent="0.2">
      <c r="A201">
        <v>215</v>
      </c>
      <c r="B201" t="s">
        <v>19</v>
      </c>
      <c r="C201" t="s">
        <v>191</v>
      </c>
      <c r="D201" t="s">
        <v>443</v>
      </c>
      <c r="E201" s="1" t="s">
        <v>444</v>
      </c>
      <c r="F201" t="s">
        <v>18</v>
      </c>
      <c r="N201">
        <f t="shared" si="3"/>
        <v>0</v>
      </c>
    </row>
    <row r="202" spans="1:14" ht="112" hidden="1" x14ac:dyDescent="0.2">
      <c r="A202">
        <v>216</v>
      </c>
      <c r="B202" t="s">
        <v>19</v>
      </c>
      <c r="C202" t="s">
        <v>31</v>
      </c>
      <c r="D202" t="s">
        <v>445</v>
      </c>
      <c r="E202" s="1" t="s">
        <v>446</v>
      </c>
      <c r="F202" t="s">
        <v>18</v>
      </c>
      <c r="N202">
        <f t="shared" si="3"/>
        <v>0</v>
      </c>
    </row>
    <row r="203" spans="1:14" ht="64" hidden="1" x14ac:dyDescent="0.2">
      <c r="A203">
        <v>217</v>
      </c>
      <c r="B203" t="s">
        <v>14</v>
      </c>
      <c r="C203" t="s">
        <v>447</v>
      </c>
      <c r="D203" t="s">
        <v>448</v>
      </c>
      <c r="E203" s="1" t="s">
        <v>449</v>
      </c>
      <c r="F203" t="s">
        <v>18</v>
      </c>
      <c r="N203">
        <f t="shared" si="3"/>
        <v>0</v>
      </c>
    </row>
    <row r="204" spans="1:14" ht="32" hidden="1" x14ac:dyDescent="0.2">
      <c r="A204">
        <v>218</v>
      </c>
      <c r="B204" t="s">
        <v>19</v>
      </c>
      <c r="C204" t="s">
        <v>450</v>
      </c>
      <c r="D204" t="s">
        <v>451</v>
      </c>
      <c r="E204" s="1" t="s">
        <v>452</v>
      </c>
      <c r="F204" t="s">
        <v>18</v>
      </c>
      <c r="N204">
        <f t="shared" si="3"/>
        <v>0</v>
      </c>
    </row>
    <row r="205" spans="1:14" ht="80" hidden="1" x14ac:dyDescent="0.2">
      <c r="A205">
        <v>219</v>
      </c>
      <c r="B205" t="s">
        <v>14</v>
      </c>
      <c r="C205" t="s">
        <v>453</v>
      </c>
      <c r="D205" t="s">
        <v>454</v>
      </c>
      <c r="E205" s="1" t="s">
        <v>455</v>
      </c>
      <c r="F205" t="s">
        <v>18</v>
      </c>
      <c r="N205">
        <f t="shared" si="3"/>
        <v>0</v>
      </c>
    </row>
    <row r="206" spans="1:14" ht="96" hidden="1" x14ac:dyDescent="0.2">
      <c r="A206">
        <v>220</v>
      </c>
      <c r="B206" t="s">
        <v>19</v>
      </c>
      <c r="C206" t="s">
        <v>161</v>
      </c>
      <c r="D206" t="s">
        <v>456</v>
      </c>
      <c r="E206" s="1" t="s">
        <v>457</v>
      </c>
      <c r="F206" t="s">
        <v>18</v>
      </c>
      <c r="N206">
        <f t="shared" si="3"/>
        <v>0</v>
      </c>
    </row>
    <row r="207" spans="1:14" ht="48" x14ac:dyDescent="0.2">
      <c r="A207">
        <v>221</v>
      </c>
      <c r="B207" t="s">
        <v>34</v>
      </c>
      <c r="C207" t="s">
        <v>458</v>
      </c>
      <c r="D207" t="s">
        <v>459</v>
      </c>
      <c r="E207" s="1" t="s">
        <v>460</v>
      </c>
      <c r="F207" t="s">
        <v>18</v>
      </c>
      <c r="N207">
        <f t="shared" si="3"/>
        <v>0</v>
      </c>
    </row>
    <row r="208" spans="1:14" ht="48" hidden="1" x14ac:dyDescent="0.2">
      <c r="A208">
        <v>222</v>
      </c>
      <c r="B208" t="s">
        <v>19</v>
      </c>
      <c r="C208" t="s">
        <v>95</v>
      </c>
      <c r="D208" t="s">
        <v>461</v>
      </c>
      <c r="E208" s="1" t="s">
        <v>462</v>
      </c>
      <c r="F208" t="s">
        <v>18</v>
      </c>
      <c r="N208">
        <f t="shared" si="3"/>
        <v>0</v>
      </c>
    </row>
    <row r="209" spans="1:14" ht="48" hidden="1" x14ac:dyDescent="0.2">
      <c r="A209">
        <v>223</v>
      </c>
      <c r="B209" t="s">
        <v>14</v>
      </c>
      <c r="C209" t="s">
        <v>82</v>
      </c>
      <c r="D209" t="s">
        <v>463</v>
      </c>
      <c r="E209" s="1" t="s">
        <v>464</v>
      </c>
      <c r="F209" t="s">
        <v>18</v>
      </c>
      <c r="N209">
        <f t="shared" si="3"/>
        <v>0</v>
      </c>
    </row>
    <row r="210" spans="1:14" ht="48" x14ac:dyDescent="0.2">
      <c r="A210">
        <v>224</v>
      </c>
      <c r="B210" t="s">
        <v>34</v>
      </c>
      <c r="C210" t="s">
        <v>46</v>
      </c>
      <c r="D210" t="s">
        <v>465</v>
      </c>
      <c r="E210" s="1" t="s">
        <v>466</v>
      </c>
      <c r="F210" t="s">
        <v>18</v>
      </c>
      <c r="N210">
        <f t="shared" si="3"/>
        <v>0</v>
      </c>
    </row>
    <row r="211" spans="1:14" ht="112" x14ac:dyDescent="0.2">
      <c r="A211">
        <v>225</v>
      </c>
      <c r="B211" t="s">
        <v>34</v>
      </c>
      <c r="C211" t="s">
        <v>362</v>
      </c>
      <c r="D211" t="s">
        <v>467</v>
      </c>
      <c r="E211" s="1" t="s">
        <v>468</v>
      </c>
      <c r="F211" t="s">
        <v>81</v>
      </c>
      <c r="G211" s="5">
        <v>46021</v>
      </c>
      <c r="H211" s="5"/>
      <c r="I211" s="5"/>
      <c r="J211" s="5">
        <v>46026</v>
      </c>
      <c r="K211" s="5"/>
      <c r="L211" s="5"/>
      <c r="M211" s="5"/>
      <c r="N211">
        <f t="shared" si="3"/>
        <v>2</v>
      </c>
    </row>
    <row r="212" spans="1:14" ht="64" hidden="1" x14ac:dyDescent="0.2">
      <c r="A212">
        <v>226</v>
      </c>
      <c r="B212" t="s">
        <v>14</v>
      </c>
      <c r="C212" t="s">
        <v>37</v>
      </c>
      <c r="D212" t="s">
        <v>469</v>
      </c>
      <c r="E212" s="1" t="s">
        <v>470</v>
      </c>
      <c r="F212" t="s">
        <v>18</v>
      </c>
      <c r="N212">
        <f t="shared" si="3"/>
        <v>0</v>
      </c>
    </row>
    <row r="213" spans="1:14" ht="64" x14ac:dyDescent="0.2">
      <c r="A213">
        <v>227</v>
      </c>
      <c r="B213" t="s">
        <v>34</v>
      </c>
      <c r="C213" t="s">
        <v>31</v>
      </c>
      <c r="D213" t="s">
        <v>471</v>
      </c>
      <c r="E213" s="1" t="s">
        <v>472</v>
      </c>
      <c r="F213" t="s">
        <v>18</v>
      </c>
      <c r="N213">
        <f t="shared" si="3"/>
        <v>0</v>
      </c>
    </row>
    <row r="214" spans="1:14" ht="48" hidden="1" x14ac:dyDescent="0.2">
      <c r="A214">
        <v>228</v>
      </c>
      <c r="B214" t="s">
        <v>19</v>
      </c>
      <c r="C214" t="s">
        <v>43</v>
      </c>
      <c r="D214" t="s">
        <v>473</v>
      </c>
      <c r="E214" s="1" t="s">
        <v>474</v>
      </c>
      <c r="F214" t="s">
        <v>18</v>
      </c>
      <c r="N214">
        <f t="shared" si="3"/>
        <v>0</v>
      </c>
    </row>
    <row r="215" spans="1:14" ht="160" hidden="1" x14ac:dyDescent="0.2">
      <c r="A215">
        <v>229</v>
      </c>
      <c r="B215" t="s">
        <v>19</v>
      </c>
      <c r="C215" t="s">
        <v>475</v>
      </c>
      <c r="D215" t="s">
        <v>476</v>
      </c>
      <c r="E215" s="1" t="s">
        <v>477</v>
      </c>
      <c r="F215" t="s">
        <v>18</v>
      </c>
      <c r="N215">
        <f t="shared" si="3"/>
        <v>0</v>
      </c>
    </row>
    <row r="216" spans="1:14" ht="144" hidden="1" x14ac:dyDescent="0.2">
      <c r="A216">
        <v>230</v>
      </c>
      <c r="B216" t="s">
        <v>19</v>
      </c>
      <c r="C216" t="s">
        <v>309</v>
      </c>
      <c r="D216" t="s">
        <v>478</v>
      </c>
      <c r="E216" s="1" t="s">
        <v>479</v>
      </c>
      <c r="F216" t="s">
        <v>18</v>
      </c>
      <c r="N216">
        <f t="shared" si="3"/>
        <v>0</v>
      </c>
    </row>
    <row r="217" spans="1:14" ht="64" x14ac:dyDescent="0.2">
      <c r="A217">
        <v>231</v>
      </c>
      <c r="B217" t="s">
        <v>34</v>
      </c>
      <c r="C217" t="s">
        <v>421</v>
      </c>
      <c r="D217" t="s">
        <v>480</v>
      </c>
      <c r="E217" s="1" t="s">
        <v>481</v>
      </c>
      <c r="F217" t="s">
        <v>18</v>
      </c>
      <c r="N217">
        <f t="shared" si="3"/>
        <v>0</v>
      </c>
    </row>
    <row r="218" spans="1:14" ht="96" x14ac:dyDescent="0.2">
      <c r="A218">
        <v>232</v>
      </c>
      <c r="B218" t="s">
        <v>34</v>
      </c>
      <c r="C218" t="s">
        <v>20</v>
      </c>
      <c r="D218" t="s">
        <v>482</v>
      </c>
      <c r="E218" s="1" t="s">
        <v>483</v>
      </c>
      <c r="F218" t="s">
        <v>18</v>
      </c>
      <c r="N218">
        <f t="shared" si="3"/>
        <v>0</v>
      </c>
    </row>
    <row r="219" spans="1:14" ht="32" x14ac:dyDescent="0.2">
      <c r="A219">
        <v>233</v>
      </c>
      <c r="B219" t="s">
        <v>34</v>
      </c>
      <c r="C219" t="s">
        <v>40</v>
      </c>
      <c r="D219" t="s">
        <v>484</v>
      </c>
      <c r="E219" s="1" t="s">
        <v>485</v>
      </c>
      <c r="F219" t="s">
        <v>18</v>
      </c>
      <c r="N219">
        <f t="shared" si="3"/>
        <v>0</v>
      </c>
    </row>
    <row r="220" spans="1:14" ht="64" hidden="1" x14ac:dyDescent="0.2">
      <c r="A220">
        <v>234</v>
      </c>
      <c r="B220" t="s">
        <v>14</v>
      </c>
      <c r="C220" t="s">
        <v>68</v>
      </c>
      <c r="D220" t="s">
        <v>486</v>
      </c>
      <c r="E220" s="1" t="s">
        <v>487</v>
      </c>
      <c r="F220" t="s">
        <v>18</v>
      </c>
      <c r="N220">
        <f t="shared" si="3"/>
        <v>0</v>
      </c>
    </row>
    <row r="221" spans="1:14" ht="32" hidden="1" x14ac:dyDescent="0.2">
      <c r="A221">
        <v>235</v>
      </c>
      <c r="B221" t="s">
        <v>14</v>
      </c>
      <c r="C221" t="s">
        <v>31</v>
      </c>
      <c r="D221" t="s">
        <v>488</v>
      </c>
      <c r="E221" s="1" t="s">
        <v>489</v>
      </c>
      <c r="F221" t="s">
        <v>18</v>
      </c>
      <c r="N221">
        <f t="shared" si="3"/>
        <v>0</v>
      </c>
    </row>
    <row r="222" spans="1:14" ht="96" hidden="1" x14ac:dyDescent="0.2">
      <c r="A222">
        <v>236</v>
      </c>
      <c r="B222" t="s">
        <v>19</v>
      </c>
      <c r="C222" t="s">
        <v>490</v>
      </c>
      <c r="D222" t="s">
        <v>491</v>
      </c>
      <c r="E222" s="1" t="s">
        <v>492</v>
      </c>
      <c r="F222" t="s">
        <v>18</v>
      </c>
      <c r="N222">
        <f t="shared" si="3"/>
        <v>0</v>
      </c>
    </row>
    <row r="223" spans="1:14" ht="48" x14ac:dyDescent="0.2">
      <c r="A223">
        <v>237</v>
      </c>
      <c r="B223" t="s">
        <v>34</v>
      </c>
      <c r="C223" t="s">
        <v>46</v>
      </c>
      <c r="D223" t="s">
        <v>493</v>
      </c>
      <c r="E223" s="1" t="s">
        <v>494</v>
      </c>
      <c r="F223" t="s">
        <v>18</v>
      </c>
      <c r="N223">
        <f t="shared" si="3"/>
        <v>0</v>
      </c>
    </row>
    <row r="224" spans="1:14" ht="160" hidden="1" x14ac:dyDescent="0.2">
      <c r="A224">
        <v>238</v>
      </c>
      <c r="B224" t="s">
        <v>14</v>
      </c>
      <c r="C224" t="s">
        <v>495</v>
      </c>
      <c r="D224" t="s">
        <v>496</v>
      </c>
      <c r="E224" s="1" t="s">
        <v>497</v>
      </c>
      <c r="F224" t="s">
        <v>18</v>
      </c>
      <c r="N224">
        <f t="shared" si="3"/>
        <v>0</v>
      </c>
    </row>
    <row r="225" spans="1:14" ht="96" hidden="1" x14ac:dyDescent="0.2">
      <c r="A225">
        <v>239</v>
      </c>
      <c r="B225" t="s">
        <v>19</v>
      </c>
      <c r="C225" t="s">
        <v>15</v>
      </c>
      <c r="D225" t="s">
        <v>498</v>
      </c>
      <c r="E225" s="1" t="s">
        <v>499</v>
      </c>
      <c r="F225" t="s">
        <v>18</v>
      </c>
      <c r="N225">
        <f t="shared" si="3"/>
        <v>0</v>
      </c>
    </row>
    <row r="226" spans="1:14" ht="64" hidden="1" x14ac:dyDescent="0.2">
      <c r="A226">
        <v>240</v>
      </c>
      <c r="B226" t="s">
        <v>14</v>
      </c>
      <c r="C226" t="s">
        <v>500</v>
      </c>
      <c r="D226" t="s">
        <v>501</v>
      </c>
      <c r="E226" s="1" t="s">
        <v>502</v>
      </c>
      <c r="F226" t="s">
        <v>18</v>
      </c>
      <c r="N226">
        <f t="shared" si="3"/>
        <v>0</v>
      </c>
    </row>
    <row r="227" spans="1:14" ht="112" x14ac:dyDescent="0.2">
      <c r="A227">
        <v>241</v>
      </c>
      <c r="B227" t="s">
        <v>34</v>
      </c>
      <c r="C227" t="s">
        <v>82</v>
      </c>
      <c r="D227" t="s">
        <v>503</v>
      </c>
      <c r="E227" s="1" t="s">
        <v>504</v>
      </c>
      <c r="F227" t="s">
        <v>18</v>
      </c>
      <c r="N227">
        <f t="shared" si="3"/>
        <v>0</v>
      </c>
    </row>
    <row r="228" spans="1:14" ht="128" hidden="1" x14ac:dyDescent="0.2">
      <c r="A228">
        <v>242</v>
      </c>
      <c r="B228" t="s">
        <v>14</v>
      </c>
      <c r="C228" t="s">
        <v>43</v>
      </c>
      <c r="D228" t="s">
        <v>505</v>
      </c>
      <c r="E228" s="1" t="s">
        <v>506</v>
      </c>
      <c r="F228" t="s">
        <v>18</v>
      </c>
      <c r="N228">
        <f t="shared" si="3"/>
        <v>0</v>
      </c>
    </row>
    <row r="229" spans="1:14" ht="64" hidden="1" x14ac:dyDescent="0.2">
      <c r="A229">
        <v>243</v>
      </c>
      <c r="B229" t="s">
        <v>19</v>
      </c>
      <c r="C229" t="s">
        <v>507</v>
      </c>
      <c r="D229" t="s">
        <v>508</v>
      </c>
      <c r="E229" s="1" t="s">
        <v>509</v>
      </c>
      <c r="F229" t="s">
        <v>18</v>
      </c>
      <c r="N229">
        <f t="shared" si="3"/>
        <v>0</v>
      </c>
    </row>
    <row r="230" spans="1:14" ht="128" x14ac:dyDescent="0.2">
      <c r="A230">
        <v>244</v>
      </c>
      <c r="B230" t="s">
        <v>34</v>
      </c>
      <c r="C230" t="s">
        <v>161</v>
      </c>
      <c r="D230" t="s">
        <v>510</v>
      </c>
      <c r="E230" s="1" t="s">
        <v>511</v>
      </c>
      <c r="F230" t="s">
        <v>18</v>
      </c>
      <c r="N230">
        <f t="shared" si="3"/>
        <v>0</v>
      </c>
    </row>
    <row r="231" spans="1:14" ht="96" hidden="1" x14ac:dyDescent="0.2">
      <c r="A231">
        <v>245</v>
      </c>
      <c r="B231" t="s">
        <v>19</v>
      </c>
      <c r="C231" t="s">
        <v>191</v>
      </c>
      <c r="D231" t="s">
        <v>512</v>
      </c>
      <c r="E231" s="1" t="s">
        <v>513</v>
      </c>
      <c r="F231" t="s">
        <v>18</v>
      </c>
      <c r="N231">
        <f t="shared" si="3"/>
        <v>0</v>
      </c>
    </row>
    <row r="232" spans="1:14" ht="80" hidden="1" x14ac:dyDescent="0.2">
      <c r="A232">
        <v>246</v>
      </c>
      <c r="B232" t="s">
        <v>19</v>
      </c>
      <c r="C232" t="s">
        <v>100</v>
      </c>
      <c r="D232" t="s">
        <v>514</v>
      </c>
      <c r="E232" s="1" t="s">
        <v>515</v>
      </c>
      <c r="F232" t="s">
        <v>18</v>
      </c>
      <c r="N232">
        <f t="shared" si="3"/>
        <v>0</v>
      </c>
    </row>
    <row r="233" spans="1:14" ht="48" x14ac:dyDescent="0.2">
      <c r="A233">
        <v>247</v>
      </c>
      <c r="B233" t="s">
        <v>34</v>
      </c>
      <c r="C233" t="s">
        <v>516</v>
      </c>
      <c r="D233" t="s">
        <v>517</v>
      </c>
      <c r="E233" s="1" t="s">
        <v>518</v>
      </c>
      <c r="F233" t="s">
        <v>18</v>
      </c>
      <c r="N233">
        <f t="shared" si="3"/>
        <v>0</v>
      </c>
    </row>
    <row r="234" spans="1:14" ht="32" hidden="1" x14ac:dyDescent="0.2">
      <c r="A234">
        <v>248</v>
      </c>
      <c r="B234" t="s">
        <v>14</v>
      </c>
      <c r="C234" t="s">
        <v>490</v>
      </c>
      <c r="D234" t="s">
        <v>519</v>
      </c>
      <c r="E234" s="1" t="s">
        <v>520</v>
      </c>
      <c r="F234" t="s">
        <v>18</v>
      </c>
      <c r="N234">
        <f t="shared" si="3"/>
        <v>0</v>
      </c>
    </row>
    <row r="235" spans="1:14" ht="16" hidden="1" x14ac:dyDescent="0.2">
      <c r="A235">
        <v>249</v>
      </c>
      <c r="B235" t="s">
        <v>14</v>
      </c>
      <c r="C235" t="s">
        <v>453</v>
      </c>
      <c r="D235" t="s">
        <v>521</v>
      </c>
      <c r="E235" s="1" t="s">
        <v>521</v>
      </c>
      <c r="F235" t="s">
        <v>18</v>
      </c>
      <c r="N235">
        <f t="shared" si="3"/>
        <v>0</v>
      </c>
    </row>
    <row r="236" spans="1:14" ht="80" hidden="1" x14ac:dyDescent="0.2">
      <c r="A236">
        <v>250</v>
      </c>
      <c r="B236" t="s">
        <v>19</v>
      </c>
      <c r="C236" t="s">
        <v>20</v>
      </c>
      <c r="D236" t="s">
        <v>522</v>
      </c>
      <c r="E236" s="1" t="s">
        <v>523</v>
      </c>
      <c r="F236" t="s">
        <v>18</v>
      </c>
      <c r="N236">
        <f t="shared" si="3"/>
        <v>0</v>
      </c>
    </row>
    <row r="237" spans="1:14" ht="48" hidden="1" x14ac:dyDescent="0.2">
      <c r="A237">
        <v>251</v>
      </c>
      <c r="B237" t="s">
        <v>19</v>
      </c>
      <c r="C237" t="s">
        <v>46</v>
      </c>
      <c r="D237" t="s">
        <v>524</v>
      </c>
      <c r="E237" s="1" t="s">
        <v>525</v>
      </c>
      <c r="F237" t="s">
        <v>18</v>
      </c>
      <c r="N237">
        <f t="shared" si="3"/>
        <v>0</v>
      </c>
    </row>
    <row r="238" spans="1:14" ht="64" x14ac:dyDescent="0.2">
      <c r="A238">
        <v>252</v>
      </c>
      <c r="B238" t="s">
        <v>34</v>
      </c>
      <c r="C238" t="s">
        <v>82</v>
      </c>
      <c r="D238" t="s">
        <v>526</v>
      </c>
      <c r="E238" s="1" t="s">
        <v>527</v>
      </c>
      <c r="F238" t="s">
        <v>18</v>
      </c>
      <c r="N238">
        <f t="shared" si="3"/>
        <v>0</v>
      </c>
    </row>
    <row r="239" spans="1:14" ht="80" hidden="1" x14ac:dyDescent="0.2">
      <c r="A239">
        <v>253</v>
      </c>
      <c r="B239" t="s">
        <v>19</v>
      </c>
      <c r="C239" t="s">
        <v>516</v>
      </c>
      <c r="D239" t="s">
        <v>528</v>
      </c>
      <c r="E239" s="1" t="s">
        <v>529</v>
      </c>
      <c r="F239" t="s">
        <v>18</v>
      </c>
      <c r="N239">
        <f t="shared" si="3"/>
        <v>0</v>
      </c>
    </row>
    <row r="240" spans="1:14" ht="64" hidden="1" x14ac:dyDescent="0.2">
      <c r="A240">
        <v>254</v>
      </c>
      <c r="B240" t="s">
        <v>19</v>
      </c>
      <c r="C240" t="s">
        <v>450</v>
      </c>
      <c r="D240" t="s">
        <v>530</v>
      </c>
      <c r="E240" s="1" t="s">
        <v>531</v>
      </c>
      <c r="F240" t="s">
        <v>18</v>
      </c>
      <c r="N240">
        <f t="shared" si="3"/>
        <v>0</v>
      </c>
    </row>
    <row r="241" spans="1:14" ht="96" x14ac:dyDescent="0.2">
      <c r="A241">
        <v>255</v>
      </c>
      <c r="B241" t="s">
        <v>34</v>
      </c>
      <c r="C241" t="s">
        <v>68</v>
      </c>
      <c r="D241" t="s">
        <v>532</v>
      </c>
      <c r="E241" s="1" t="s">
        <v>533</v>
      </c>
      <c r="F241" t="s">
        <v>18</v>
      </c>
      <c r="N241">
        <f t="shared" si="3"/>
        <v>0</v>
      </c>
    </row>
    <row r="242" spans="1:14" ht="48" hidden="1" x14ac:dyDescent="0.2">
      <c r="A242">
        <v>256</v>
      </c>
      <c r="B242" t="s">
        <v>19</v>
      </c>
      <c r="C242" t="s">
        <v>534</v>
      </c>
      <c r="D242" t="s">
        <v>535</v>
      </c>
      <c r="E242" s="1" t="s">
        <v>536</v>
      </c>
      <c r="F242" t="s">
        <v>18</v>
      </c>
      <c r="N242">
        <f t="shared" si="3"/>
        <v>0</v>
      </c>
    </row>
    <row r="243" spans="1:14" ht="48" x14ac:dyDescent="0.2">
      <c r="A243">
        <v>257</v>
      </c>
      <c r="B243" t="s">
        <v>34</v>
      </c>
      <c r="C243" t="s">
        <v>537</v>
      </c>
      <c r="D243" t="s">
        <v>538</v>
      </c>
      <c r="E243" s="1" t="s">
        <v>539</v>
      </c>
      <c r="F243" t="s">
        <v>18</v>
      </c>
      <c r="N243">
        <f t="shared" si="3"/>
        <v>0</v>
      </c>
    </row>
    <row r="244" spans="1:14" ht="80" x14ac:dyDescent="0.2">
      <c r="A244">
        <v>258</v>
      </c>
      <c r="B244" t="s">
        <v>34</v>
      </c>
      <c r="C244" t="s">
        <v>540</v>
      </c>
      <c r="D244" t="s">
        <v>541</v>
      </c>
      <c r="E244" s="1" t="s">
        <v>542</v>
      </c>
      <c r="F244" t="s">
        <v>18</v>
      </c>
      <c r="N244">
        <f t="shared" si="3"/>
        <v>0</v>
      </c>
    </row>
    <row r="245" spans="1:14" ht="112" hidden="1" x14ac:dyDescent="0.2">
      <c r="A245">
        <v>259</v>
      </c>
      <c r="B245" t="s">
        <v>14</v>
      </c>
      <c r="C245" t="s">
        <v>118</v>
      </c>
      <c r="D245" t="s">
        <v>543</v>
      </c>
      <c r="E245" s="1" t="s">
        <v>544</v>
      </c>
      <c r="F245" t="s">
        <v>18</v>
      </c>
      <c r="N245">
        <f t="shared" si="3"/>
        <v>0</v>
      </c>
    </row>
    <row r="246" spans="1:14" ht="64" hidden="1" x14ac:dyDescent="0.2">
      <c r="A246">
        <v>260</v>
      </c>
      <c r="B246" t="s">
        <v>19</v>
      </c>
      <c r="C246" t="s">
        <v>240</v>
      </c>
      <c r="D246" t="s">
        <v>545</v>
      </c>
      <c r="E246" s="1" t="s">
        <v>546</v>
      </c>
      <c r="F246" t="s">
        <v>18</v>
      </c>
      <c r="N246">
        <f t="shared" si="3"/>
        <v>0</v>
      </c>
    </row>
    <row r="247" spans="1:14" ht="176" x14ac:dyDescent="0.2">
      <c r="A247">
        <v>261</v>
      </c>
      <c r="B247" t="s">
        <v>34</v>
      </c>
      <c r="C247" t="s">
        <v>46</v>
      </c>
      <c r="D247" t="s">
        <v>547</v>
      </c>
      <c r="E247" s="1" t="s">
        <v>548</v>
      </c>
      <c r="F247" t="s">
        <v>18</v>
      </c>
      <c r="N247">
        <f t="shared" si="3"/>
        <v>0</v>
      </c>
    </row>
    <row r="248" spans="1:14" ht="32" hidden="1" x14ac:dyDescent="0.2">
      <c r="A248">
        <v>262</v>
      </c>
      <c r="B248" t="s">
        <v>19</v>
      </c>
      <c r="C248" t="s">
        <v>549</v>
      </c>
      <c r="D248" t="s">
        <v>550</v>
      </c>
      <c r="E248" s="1" t="s">
        <v>551</v>
      </c>
      <c r="F248" t="s">
        <v>18</v>
      </c>
      <c r="N248">
        <f t="shared" si="3"/>
        <v>0</v>
      </c>
    </row>
    <row r="249" spans="1:14" ht="128" hidden="1" x14ac:dyDescent="0.2">
      <c r="A249">
        <v>263</v>
      </c>
      <c r="B249" t="s">
        <v>19</v>
      </c>
      <c r="C249" t="s">
        <v>552</v>
      </c>
      <c r="D249" t="s">
        <v>553</v>
      </c>
      <c r="E249" s="1" t="s">
        <v>554</v>
      </c>
      <c r="F249" t="s">
        <v>18</v>
      </c>
      <c r="N249">
        <f t="shared" si="3"/>
        <v>0</v>
      </c>
    </row>
    <row r="250" spans="1:14" ht="96" hidden="1" x14ac:dyDescent="0.2">
      <c r="A250">
        <v>264</v>
      </c>
      <c r="B250" t="s">
        <v>14</v>
      </c>
      <c r="C250" t="s">
        <v>204</v>
      </c>
      <c r="D250" t="s">
        <v>555</v>
      </c>
      <c r="E250" s="1" t="s">
        <v>556</v>
      </c>
      <c r="F250" t="s">
        <v>18</v>
      </c>
      <c r="N250">
        <f t="shared" si="3"/>
        <v>0</v>
      </c>
    </row>
    <row r="251" spans="1:14" ht="112" x14ac:dyDescent="0.2">
      <c r="A251">
        <v>265</v>
      </c>
      <c r="B251" t="s">
        <v>34</v>
      </c>
      <c r="C251" t="s">
        <v>557</v>
      </c>
      <c r="D251" t="s">
        <v>558</v>
      </c>
      <c r="E251" s="1" t="s">
        <v>559</v>
      </c>
      <c r="F251" t="s">
        <v>18</v>
      </c>
      <c r="N251">
        <f t="shared" si="3"/>
        <v>0</v>
      </c>
    </row>
    <row r="252" spans="1:14" ht="64" x14ac:dyDescent="0.2">
      <c r="A252">
        <v>266</v>
      </c>
      <c r="B252" t="s">
        <v>34</v>
      </c>
      <c r="C252" t="s">
        <v>560</v>
      </c>
      <c r="D252" t="s">
        <v>561</v>
      </c>
      <c r="E252" s="1" t="s">
        <v>562</v>
      </c>
      <c r="F252" t="s">
        <v>18</v>
      </c>
      <c r="N252">
        <f t="shared" si="3"/>
        <v>0</v>
      </c>
    </row>
    <row r="253" spans="1:14" ht="128" hidden="1" x14ac:dyDescent="0.2">
      <c r="A253">
        <v>267</v>
      </c>
      <c r="B253" t="s">
        <v>14</v>
      </c>
      <c r="C253" t="s">
        <v>447</v>
      </c>
      <c r="D253" t="s">
        <v>563</v>
      </c>
      <c r="E253" s="1" t="s">
        <v>564</v>
      </c>
      <c r="F253" t="s">
        <v>18</v>
      </c>
      <c r="N253">
        <f t="shared" si="3"/>
        <v>0</v>
      </c>
    </row>
    <row r="254" spans="1:14" ht="32" hidden="1" x14ac:dyDescent="0.2">
      <c r="A254">
        <v>268</v>
      </c>
      <c r="B254" t="s">
        <v>19</v>
      </c>
      <c r="C254" t="s">
        <v>565</v>
      </c>
      <c r="D254" t="s">
        <v>566</v>
      </c>
      <c r="E254" s="1" t="s">
        <v>567</v>
      </c>
      <c r="F254" t="s">
        <v>18</v>
      </c>
      <c r="N254">
        <f t="shared" si="3"/>
        <v>0</v>
      </c>
    </row>
    <row r="255" spans="1:14" ht="128" x14ac:dyDescent="0.2">
      <c r="A255">
        <v>269</v>
      </c>
      <c r="B255" t="s">
        <v>34</v>
      </c>
      <c r="C255" t="s">
        <v>68</v>
      </c>
      <c r="D255" t="s">
        <v>568</v>
      </c>
      <c r="E255" s="1" t="s">
        <v>569</v>
      </c>
      <c r="F255" t="s">
        <v>18</v>
      </c>
      <c r="N255">
        <f t="shared" si="3"/>
        <v>0</v>
      </c>
    </row>
    <row r="256" spans="1:14" ht="144" hidden="1" x14ac:dyDescent="0.2">
      <c r="A256">
        <v>270</v>
      </c>
      <c r="B256" t="s">
        <v>19</v>
      </c>
      <c r="C256" t="s">
        <v>43</v>
      </c>
      <c r="D256" t="s">
        <v>570</v>
      </c>
      <c r="E256" s="1" t="s">
        <v>571</v>
      </c>
      <c r="F256" t="s">
        <v>18</v>
      </c>
      <c r="N256">
        <f t="shared" si="3"/>
        <v>0</v>
      </c>
    </row>
    <row r="257" spans="1:14" ht="48" hidden="1" x14ac:dyDescent="0.2">
      <c r="A257">
        <v>271</v>
      </c>
      <c r="B257" t="s">
        <v>14</v>
      </c>
      <c r="C257" t="s">
        <v>572</v>
      </c>
      <c r="D257" t="s">
        <v>573</v>
      </c>
      <c r="E257" s="1" t="s">
        <v>574</v>
      </c>
      <c r="F257" t="s">
        <v>18</v>
      </c>
      <c r="N257">
        <f t="shared" si="3"/>
        <v>0</v>
      </c>
    </row>
    <row r="258" spans="1:14" ht="48" hidden="1" x14ac:dyDescent="0.2">
      <c r="A258">
        <v>272</v>
      </c>
      <c r="B258" t="s">
        <v>19</v>
      </c>
      <c r="C258" t="s">
        <v>500</v>
      </c>
      <c r="D258" t="s">
        <v>575</v>
      </c>
      <c r="E258" s="1" t="s">
        <v>576</v>
      </c>
      <c r="F258" t="s">
        <v>18</v>
      </c>
      <c r="N258">
        <f t="shared" ref="N258:N321" si="4">COUNTA(G258:M258)</f>
        <v>0</v>
      </c>
    </row>
    <row r="259" spans="1:14" ht="64" x14ac:dyDescent="0.2">
      <c r="A259">
        <v>273</v>
      </c>
      <c r="B259" t="s">
        <v>34</v>
      </c>
      <c r="C259" t="s">
        <v>40</v>
      </c>
      <c r="D259" t="s">
        <v>577</v>
      </c>
      <c r="E259" s="1" t="s">
        <v>578</v>
      </c>
      <c r="F259" t="s">
        <v>18</v>
      </c>
      <c r="N259">
        <f t="shared" si="4"/>
        <v>0</v>
      </c>
    </row>
    <row r="260" spans="1:14" ht="64" hidden="1" x14ac:dyDescent="0.2">
      <c r="A260">
        <v>274</v>
      </c>
      <c r="B260" t="s">
        <v>14</v>
      </c>
      <c r="C260" t="s">
        <v>31</v>
      </c>
      <c r="D260" t="s">
        <v>579</v>
      </c>
      <c r="E260" s="1" t="s">
        <v>580</v>
      </c>
      <c r="F260" t="s">
        <v>18</v>
      </c>
      <c r="N260">
        <f t="shared" si="4"/>
        <v>0</v>
      </c>
    </row>
    <row r="261" spans="1:14" ht="80" hidden="1" x14ac:dyDescent="0.2">
      <c r="A261">
        <v>275</v>
      </c>
      <c r="B261" t="s">
        <v>19</v>
      </c>
      <c r="C261" t="s">
        <v>581</v>
      </c>
      <c r="D261" t="s">
        <v>582</v>
      </c>
      <c r="E261" s="1" t="s">
        <v>583</v>
      </c>
      <c r="F261" t="s">
        <v>18</v>
      </c>
      <c r="N261">
        <f t="shared" si="4"/>
        <v>0</v>
      </c>
    </row>
    <row r="262" spans="1:14" ht="64" hidden="1" x14ac:dyDescent="0.2">
      <c r="A262">
        <v>276</v>
      </c>
      <c r="B262" t="s">
        <v>14</v>
      </c>
      <c r="C262" t="s">
        <v>100</v>
      </c>
      <c r="D262" t="s">
        <v>584</v>
      </c>
      <c r="E262" s="1" t="s">
        <v>585</v>
      </c>
      <c r="F262" t="s">
        <v>18</v>
      </c>
      <c r="N262">
        <f t="shared" si="4"/>
        <v>0</v>
      </c>
    </row>
    <row r="263" spans="1:14" ht="160" x14ac:dyDescent="0.2">
      <c r="A263">
        <v>277</v>
      </c>
      <c r="B263" t="s">
        <v>34</v>
      </c>
      <c r="C263" t="s">
        <v>20</v>
      </c>
      <c r="D263" t="s">
        <v>586</v>
      </c>
      <c r="E263" s="1" t="s">
        <v>587</v>
      </c>
      <c r="F263" t="s">
        <v>18</v>
      </c>
      <c r="N263">
        <f t="shared" si="4"/>
        <v>0</v>
      </c>
    </row>
    <row r="264" spans="1:14" ht="16" x14ac:dyDescent="0.2">
      <c r="A264">
        <v>278</v>
      </c>
      <c r="B264" t="s">
        <v>34</v>
      </c>
      <c r="C264" t="s">
        <v>46</v>
      </c>
      <c r="D264" t="s">
        <v>588</v>
      </c>
      <c r="E264" s="1" t="s">
        <v>588</v>
      </c>
      <c r="F264" t="s">
        <v>18</v>
      </c>
      <c r="N264">
        <f t="shared" si="4"/>
        <v>0</v>
      </c>
    </row>
    <row r="265" spans="1:14" ht="144" x14ac:dyDescent="0.2">
      <c r="A265">
        <v>279</v>
      </c>
      <c r="B265" t="s">
        <v>34</v>
      </c>
      <c r="C265" t="s">
        <v>43</v>
      </c>
      <c r="D265" t="s">
        <v>589</v>
      </c>
      <c r="E265" s="1" t="s">
        <v>590</v>
      </c>
      <c r="F265" t="s">
        <v>18</v>
      </c>
      <c r="N265">
        <f t="shared" si="4"/>
        <v>0</v>
      </c>
    </row>
    <row r="266" spans="1:14" ht="16" x14ac:dyDescent="0.2">
      <c r="A266">
        <v>280</v>
      </c>
      <c r="B266" t="s">
        <v>34</v>
      </c>
      <c r="C266" t="s">
        <v>591</v>
      </c>
      <c r="D266" t="s">
        <v>592</v>
      </c>
      <c r="E266" s="1" t="s">
        <v>592</v>
      </c>
      <c r="F266" t="s">
        <v>18</v>
      </c>
      <c r="N266">
        <f t="shared" si="4"/>
        <v>0</v>
      </c>
    </row>
    <row r="267" spans="1:14" ht="176" hidden="1" x14ac:dyDescent="0.2">
      <c r="A267">
        <v>281</v>
      </c>
      <c r="B267" t="s">
        <v>19</v>
      </c>
      <c r="C267" t="s">
        <v>204</v>
      </c>
      <c r="D267" t="s">
        <v>593</v>
      </c>
      <c r="E267" s="1" t="s">
        <v>594</v>
      </c>
      <c r="F267" t="s">
        <v>18</v>
      </c>
      <c r="N267">
        <f t="shared" si="4"/>
        <v>0</v>
      </c>
    </row>
    <row r="268" spans="1:14" ht="48" x14ac:dyDescent="0.2">
      <c r="A268">
        <v>282</v>
      </c>
      <c r="B268" t="s">
        <v>34</v>
      </c>
      <c r="C268" t="s">
        <v>572</v>
      </c>
      <c r="D268" t="s">
        <v>595</v>
      </c>
      <c r="E268" s="1" t="s">
        <v>596</v>
      </c>
      <c r="F268" t="s">
        <v>81</v>
      </c>
      <c r="G268" s="5">
        <v>46014</v>
      </c>
      <c r="H268" s="5"/>
      <c r="I268" s="5"/>
      <c r="J268" s="5">
        <v>46024</v>
      </c>
      <c r="N268">
        <f t="shared" si="4"/>
        <v>2</v>
      </c>
    </row>
    <row r="269" spans="1:14" ht="96" x14ac:dyDescent="0.2">
      <c r="A269">
        <v>283</v>
      </c>
      <c r="B269" t="s">
        <v>34</v>
      </c>
      <c r="C269" t="s">
        <v>20</v>
      </c>
      <c r="D269" t="s">
        <v>597</v>
      </c>
      <c r="E269" s="1" t="s">
        <v>598</v>
      </c>
      <c r="F269" t="s">
        <v>18</v>
      </c>
      <c r="N269">
        <f t="shared" si="4"/>
        <v>0</v>
      </c>
    </row>
    <row r="270" spans="1:14" ht="64" hidden="1" x14ac:dyDescent="0.2">
      <c r="A270">
        <v>284</v>
      </c>
      <c r="B270" t="s">
        <v>19</v>
      </c>
      <c r="C270" t="s">
        <v>599</v>
      </c>
      <c r="D270" t="s">
        <v>600</v>
      </c>
      <c r="E270" s="1" t="s">
        <v>601</v>
      </c>
      <c r="F270" t="s">
        <v>18</v>
      </c>
      <c r="N270">
        <f t="shared" si="4"/>
        <v>0</v>
      </c>
    </row>
    <row r="271" spans="1:14" ht="112" hidden="1" x14ac:dyDescent="0.2">
      <c r="A271">
        <v>285</v>
      </c>
      <c r="B271" t="s">
        <v>19</v>
      </c>
      <c r="C271" t="s">
        <v>602</v>
      </c>
      <c r="D271" t="s">
        <v>603</v>
      </c>
      <c r="E271" s="1" t="s">
        <v>604</v>
      </c>
      <c r="F271" t="s">
        <v>18</v>
      </c>
      <c r="N271">
        <f t="shared" si="4"/>
        <v>0</v>
      </c>
    </row>
    <row r="272" spans="1:14" ht="192" hidden="1" x14ac:dyDescent="0.2">
      <c r="A272">
        <v>286</v>
      </c>
      <c r="B272" t="s">
        <v>14</v>
      </c>
      <c r="C272" t="s">
        <v>605</v>
      </c>
      <c r="D272" t="s">
        <v>606</v>
      </c>
      <c r="E272" s="1" t="s">
        <v>607</v>
      </c>
      <c r="F272" t="s">
        <v>18</v>
      </c>
      <c r="N272">
        <f t="shared" si="4"/>
        <v>0</v>
      </c>
    </row>
    <row r="273" spans="1:14" ht="112" hidden="1" x14ac:dyDescent="0.2">
      <c r="A273">
        <v>287</v>
      </c>
      <c r="B273" t="s">
        <v>19</v>
      </c>
      <c r="C273" t="s">
        <v>95</v>
      </c>
      <c r="D273" t="s">
        <v>608</v>
      </c>
      <c r="E273" s="1" t="s">
        <v>609</v>
      </c>
      <c r="F273" t="s">
        <v>18</v>
      </c>
      <c r="N273">
        <f t="shared" si="4"/>
        <v>0</v>
      </c>
    </row>
    <row r="274" spans="1:14" ht="144" hidden="1" x14ac:dyDescent="0.2">
      <c r="A274">
        <v>288</v>
      </c>
      <c r="B274" t="s">
        <v>19</v>
      </c>
      <c r="C274" t="s">
        <v>453</v>
      </c>
      <c r="D274" t="s">
        <v>610</v>
      </c>
      <c r="E274" s="1" t="s">
        <v>611</v>
      </c>
      <c r="F274" t="s">
        <v>18</v>
      </c>
      <c r="N274">
        <f t="shared" si="4"/>
        <v>0</v>
      </c>
    </row>
    <row r="275" spans="1:14" ht="160" hidden="1" x14ac:dyDescent="0.2">
      <c r="A275">
        <v>289</v>
      </c>
      <c r="B275" t="s">
        <v>14</v>
      </c>
      <c r="C275" t="s">
        <v>20</v>
      </c>
      <c r="D275" t="s">
        <v>612</v>
      </c>
      <c r="E275" s="1" t="s">
        <v>613</v>
      </c>
      <c r="F275" t="s">
        <v>18</v>
      </c>
      <c r="N275">
        <f t="shared" si="4"/>
        <v>0</v>
      </c>
    </row>
    <row r="276" spans="1:14" ht="144" x14ac:dyDescent="0.2">
      <c r="A276">
        <v>290</v>
      </c>
      <c r="B276" t="s">
        <v>34</v>
      </c>
      <c r="C276" t="s">
        <v>31</v>
      </c>
      <c r="D276" t="s">
        <v>614</v>
      </c>
      <c r="E276" s="1" t="s">
        <v>615</v>
      </c>
      <c r="F276" t="s">
        <v>18</v>
      </c>
      <c r="N276">
        <f t="shared" si="4"/>
        <v>0</v>
      </c>
    </row>
    <row r="277" spans="1:14" ht="80" hidden="1" x14ac:dyDescent="0.2">
      <c r="A277">
        <v>291</v>
      </c>
      <c r="B277" t="s">
        <v>19</v>
      </c>
      <c r="C277" t="s">
        <v>616</v>
      </c>
      <c r="D277" t="s">
        <v>617</v>
      </c>
      <c r="E277" s="1" t="s">
        <v>618</v>
      </c>
      <c r="F277" t="s">
        <v>18</v>
      </c>
      <c r="N277">
        <f t="shared" si="4"/>
        <v>0</v>
      </c>
    </row>
    <row r="278" spans="1:14" ht="144" hidden="1" x14ac:dyDescent="0.2">
      <c r="A278">
        <v>292</v>
      </c>
      <c r="B278" t="s">
        <v>14</v>
      </c>
      <c r="C278" t="s">
        <v>43</v>
      </c>
      <c r="D278" t="s">
        <v>619</v>
      </c>
      <c r="E278" s="1" t="s">
        <v>620</v>
      </c>
      <c r="F278" t="s">
        <v>18</v>
      </c>
      <c r="N278">
        <f t="shared" si="4"/>
        <v>0</v>
      </c>
    </row>
    <row r="279" spans="1:14" ht="144" hidden="1" x14ac:dyDescent="0.2">
      <c r="A279">
        <v>293</v>
      </c>
      <c r="B279" t="s">
        <v>14</v>
      </c>
      <c r="C279" t="s">
        <v>15</v>
      </c>
      <c r="D279" t="s">
        <v>621</v>
      </c>
      <c r="E279" s="1" t="s">
        <v>622</v>
      </c>
      <c r="F279" t="s">
        <v>18</v>
      </c>
      <c r="N279">
        <f t="shared" si="4"/>
        <v>0</v>
      </c>
    </row>
    <row r="280" spans="1:14" ht="160" hidden="1" x14ac:dyDescent="0.2">
      <c r="A280">
        <v>294</v>
      </c>
      <c r="B280" t="s">
        <v>19</v>
      </c>
      <c r="C280" t="s">
        <v>161</v>
      </c>
      <c r="D280" t="s">
        <v>623</v>
      </c>
      <c r="E280" s="1" t="s">
        <v>624</v>
      </c>
      <c r="F280" t="s">
        <v>18</v>
      </c>
      <c r="N280">
        <f t="shared" si="4"/>
        <v>0</v>
      </c>
    </row>
    <row r="281" spans="1:14" ht="96" hidden="1" x14ac:dyDescent="0.2">
      <c r="A281">
        <v>295</v>
      </c>
      <c r="B281" t="s">
        <v>19</v>
      </c>
      <c r="C281" t="s">
        <v>625</v>
      </c>
      <c r="D281" t="s">
        <v>626</v>
      </c>
      <c r="E281" s="1" t="s">
        <v>627</v>
      </c>
      <c r="F281" t="s">
        <v>18</v>
      </c>
      <c r="N281">
        <f t="shared" si="4"/>
        <v>0</v>
      </c>
    </row>
    <row r="282" spans="1:14" ht="16" hidden="1" x14ac:dyDescent="0.2">
      <c r="A282">
        <v>296</v>
      </c>
      <c r="B282" t="s">
        <v>14</v>
      </c>
      <c r="C282" t="s">
        <v>507</v>
      </c>
      <c r="D282" t="s">
        <v>628</v>
      </c>
      <c r="E282" s="1" t="s">
        <v>628</v>
      </c>
      <c r="F282" t="s">
        <v>18</v>
      </c>
      <c r="N282">
        <f t="shared" si="4"/>
        <v>0</v>
      </c>
    </row>
    <row r="283" spans="1:14" ht="128" hidden="1" x14ac:dyDescent="0.2">
      <c r="A283">
        <v>297</v>
      </c>
      <c r="B283" t="s">
        <v>19</v>
      </c>
      <c r="C283" t="s">
        <v>46</v>
      </c>
      <c r="D283" t="s">
        <v>629</v>
      </c>
      <c r="E283" s="1" t="s">
        <v>630</v>
      </c>
      <c r="F283" t="s">
        <v>18</v>
      </c>
      <c r="N283">
        <f t="shared" si="4"/>
        <v>0</v>
      </c>
    </row>
    <row r="284" spans="1:14" ht="112" x14ac:dyDescent="0.2">
      <c r="A284">
        <v>298</v>
      </c>
      <c r="B284" t="s">
        <v>34</v>
      </c>
      <c r="C284" t="s">
        <v>20</v>
      </c>
      <c r="D284" t="s">
        <v>631</v>
      </c>
      <c r="E284" s="1" t="s">
        <v>632</v>
      </c>
      <c r="F284" t="s">
        <v>18</v>
      </c>
      <c r="N284">
        <f t="shared" si="4"/>
        <v>0</v>
      </c>
    </row>
    <row r="285" spans="1:14" ht="176" hidden="1" x14ac:dyDescent="0.2">
      <c r="A285">
        <v>299</v>
      </c>
      <c r="B285" t="s">
        <v>19</v>
      </c>
      <c r="C285" t="s">
        <v>633</v>
      </c>
      <c r="D285" t="s">
        <v>634</v>
      </c>
      <c r="E285" s="1" t="s">
        <v>635</v>
      </c>
      <c r="F285" t="s">
        <v>18</v>
      </c>
      <c r="N285">
        <f t="shared" si="4"/>
        <v>0</v>
      </c>
    </row>
    <row r="286" spans="1:14" ht="64" x14ac:dyDescent="0.2">
      <c r="A286">
        <v>300</v>
      </c>
      <c r="B286" t="s">
        <v>34</v>
      </c>
      <c r="C286" t="s">
        <v>15</v>
      </c>
      <c r="D286" t="s">
        <v>636</v>
      </c>
      <c r="E286" s="1" t="s">
        <v>637</v>
      </c>
      <c r="F286" t="s">
        <v>18</v>
      </c>
      <c r="N286">
        <f t="shared" si="4"/>
        <v>0</v>
      </c>
    </row>
    <row r="287" spans="1:14" ht="96" hidden="1" x14ac:dyDescent="0.2">
      <c r="A287">
        <v>301</v>
      </c>
      <c r="B287" t="s">
        <v>19</v>
      </c>
      <c r="C287" t="s">
        <v>314</v>
      </c>
      <c r="D287" t="s">
        <v>638</v>
      </c>
      <c r="E287" s="1" t="s">
        <v>639</v>
      </c>
      <c r="F287" t="s">
        <v>18</v>
      </c>
      <c r="N287">
        <f t="shared" si="4"/>
        <v>0</v>
      </c>
    </row>
    <row r="288" spans="1:14" ht="80" hidden="1" x14ac:dyDescent="0.2">
      <c r="A288">
        <v>302</v>
      </c>
      <c r="B288" t="s">
        <v>19</v>
      </c>
      <c r="C288" t="s">
        <v>15</v>
      </c>
      <c r="D288" t="s">
        <v>640</v>
      </c>
      <c r="E288" s="1" t="s">
        <v>641</v>
      </c>
      <c r="F288" t="s">
        <v>18</v>
      </c>
      <c r="N288">
        <f t="shared" si="4"/>
        <v>0</v>
      </c>
    </row>
    <row r="289" spans="1:14" ht="48" x14ac:dyDescent="0.2">
      <c r="A289">
        <v>303</v>
      </c>
      <c r="B289" t="s">
        <v>34</v>
      </c>
      <c r="C289" t="s">
        <v>68</v>
      </c>
      <c r="D289" t="s">
        <v>642</v>
      </c>
      <c r="E289" s="1" t="s">
        <v>643</v>
      </c>
      <c r="F289" t="s">
        <v>18</v>
      </c>
      <c r="N289">
        <f t="shared" si="4"/>
        <v>0</v>
      </c>
    </row>
    <row r="290" spans="1:14" ht="80" hidden="1" x14ac:dyDescent="0.2">
      <c r="A290">
        <v>304</v>
      </c>
      <c r="B290" t="s">
        <v>14</v>
      </c>
      <c r="C290" t="s">
        <v>118</v>
      </c>
      <c r="D290" t="s">
        <v>644</v>
      </c>
      <c r="E290" s="1" t="s">
        <v>645</v>
      </c>
      <c r="F290" t="s">
        <v>18</v>
      </c>
      <c r="N290">
        <f t="shared" si="4"/>
        <v>0</v>
      </c>
    </row>
    <row r="291" spans="1:14" ht="64" x14ac:dyDescent="0.2">
      <c r="A291">
        <v>305</v>
      </c>
      <c r="B291" t="s">
        <v>34</v>
      </c>
      <c r="C291" t="s">
        <v>46</v>
      </c>
      <c r="D291" t="s">
        <v>646</v>
      </c>
      <c r="E291" s="1" t="s">
        <v>647</v>
      </c>
      <c r="F291" t="s">
        <v>18</v>
      </c>
      <c r="N291">
        <f t="shared" si="4"/>
        <v>0</v>
      </c>
    </row>
    <row r="292" spans="1:14" ht="64" hidden="1" x14ac:dyDescent="0.2">
      <c r="A292">
        <v>306</v>
      </c>
      <c r="B292" t="s">
        <v>19</v>
      </c>
      <c r="C292" t="s">
        <v>82</v>
      </c>
      <c r="D292" t="s">
        <v>648</v>
      </c>
      <c r="E292" s="1" t="s">
        <v>649</v>
      </c>
      <c r="F292" t="s">
        <v>18</v>
      </c>
      <c r="N292">
        <f t="shared" si="4"/>
        <v>0</v>
      </c>
    </row>
    <row r="293" spans="1:14" ht="64" x14ac:dyDescent="0.2">
      <c r="A293">
        <v>307</v>
      </c>
      <c r="B293" t="s">
        <v>34</v>
      </c>
      <c r="C293" t="s">
        <v>447</v>
      </c>
      <c r="D293" t="s">
        <v>650</v>
      </c>
      <c r="E293" s="1" t="s">
        <v>651</v>
      </c>
      <c r="F293" t="s">
        <v>18</v>
      </c>
      <c r="N293">
        <f t="shared" si="4"/>
        <v>0</v>
      </c>
    </row>
    <row r="294" spans="1:14" ht="112" hidden="1" x14ac:dyDescent="0.2">
      <c r="A294">
        <v>308</v>
      </c>
      <c r="B294" t="s">
        <v>14</v>
      </c>
      <c r="C294" t="s">
        <v>652</v>
      </c>
      <c r="D294" t="s">
        <v>653</v>
      </c>
      <c r="E294" s="1" t="s">
        <v>654</v>
      </c>
      <c r="F294" t="s">
        <v>18</v>
      </c>
      <c r="N294">
        <f t="shared" si="4"/>
        <v>0</v>
      </c>
    </row>
    <row r="295" spans="1:14" ht="144" hidden="1" x14ac:dyDescent="0.2">
      <c r="A295">
        <v>309</v>
      </c>
      <c r="B295" t="s">
        <v>19</v>
      </c>
      <c r="C295" t="s">
        <v>655</v>
      </c>
      <c r="D295" t="s">
        <v>656</v>
      </c>
      <c r="E295" s="1" t="s">
        <v>657</v>
      </c>
      <c r="F295" t="s">
        <v>18</v>
      </c>
      <c r="N295">
        <f t="shared" si="4"/>
        <v>0</v>
      </c>
    </row>
    <row r="296" spans="1:14" ht="32" x14ac:dyDescent="0.2">
      <c r="A296">
        <v>310</v>
      </c>
      <c r="B296" t="s">
        <v>34</v>
      </c>
      <c r="C296" t="s">
        <v>560</v>
      </c>
      <c r="D296" t="s">
        <v>658</v>
      </c>
      <c r="E296" s="1" t="s">
        <v>658</v>
      </c>
      <c r="F296" t="s">
        <v>18</v>
      </c>
      <c r="N296">
        <f t="shared" si="4"/>
        <v>0</v>
      </c>
    </row>
    <row r="297" spans="1:14" ht="64" x14ac:dyDescent="0.2">
      <c r="A297">
        <v>311</v>
      </c>
      <c r="B297" t="s">
        <v>34</v>
      </c>
      <c r="C297" t="s">
        <v>659</v>
      </c>
      <c r="D297" t="s">
        <v>660</v>
      </c>
      <c r="E297" s="1" t="s">
        <v>661</v>
      </c>
      <c r="F297" t="s">
        <v>18</v>
      </c>
      <c r="N297">
        <f t="shared" si="4"/>
        <v>0</v>
      </c>
    </row>
    <row r="298" spans="1:14" ht="80" x14ac:dyDescent="0.2">
      <c r="A298">
        <v>312</v>
      </c>
      <c r="B298" t="s">
        <v>34</v>
      </c>
      <c r="C298" t="s">
        <v>662</v>
      </c>
      <c r="D298" t="s">
        <v>663</v>
      </c>
      <c r="E298" s="1" t="s">
        <v>664</v>
      </c>
      <c r="F298" t="s">
        <v>18</v>
      </c>
      <c r="N298">
        <f t="shared" si="4"/>
        <v>0</v>
      </c>
    </row>
    <row r="299" spans="1:14" ht="144" hidden="1" x14ac:dyDescent="0.2">
      <c r="A299">
        <v>313</v>
      </c>
      <c r="B299" t="s">
        <v>14</v>
      </c>
      <c r="C299" t="s">
        <v>665</v>
      </c>
      <c r="D299" t="s">
        <v>666</v>
      </c>
      <c r="E299" s="1" t="s">
        <v>667</v>
      </c>
      <c r="F299" t="s">
        <v>18</v>
      </c>
      <c r="N299">
        <f t="shared" si="4"/>
        <v>0</v>
      </c>
    </row>
    <row r="300" spans="1:14" ht="144" hidden="1" x14ac:dyDescent="0.2">
      <c r="A300">
        <v>314</v>
      </c>
      <c r="B300" t="s">
        <v>19</v>
      </c>
      <c r="C300" t="s">
        <v>500</v>
      </c>
      <c r="D300" t="s">
        <v>668</v>
      </c>
      <c r="E300" s="1" t="s">
        <v>669</v>
      </c>
      <c r="F300" t="s">
        <v>18</v>
      </c>
      <c r="N300">
        <f t="shared" si="4"/>
        <v>0</v>
      </c>
    </row>
    <row r="301" spans="1:14" ht="64" x14ac:dyDescent="0.2">
      <c r="A301">
        <v>315</v>
      </c>
      <c r="B301" t="s">
        <v>34</v>
      </c>
      <c r="C301" t="s">
        <v>20</v>
      </c>
      <c r="D301" t="s">
        <v>670</v>
      </c>
      <c r="E301" s="1" t="s">
        <v>671</v>
      </c>
      <c r="F301" t="s">
        <v>18</v>
      </c>
      <c r="N301">
        <f t="shared" si="4"/>
        <v>0</v>
      </c>
    </row>
    <row r="302" spans="1:14" ht="96" hidden="1" x14ac:dyDescent="0.2">
      <c r="A302">
        <v>316</v>
      </c>
      <c r="B302" t="s">
        <v>19</v>
      </c>
      <c r="C302" t="s">
        <v>65</v>
      </c>
      <c r="D302" t="s">
        <v>672</v>
      </c>
      <c r="E302" s="1" t="s">
        <v>673</v>
      </c>
      <c r="F302" t="s">
        <v>18</v>
      </c>
      <c r="N302">
        <f t="shared" si="4"/>
        <v>0</v>
      </c>
    </row>
    <row r="303" spans="1:14" ht="32" hidden="1" x14ac:dyDescent="0.2">
      <c r="A303">
        <v>317</v>
      </c>
      <c r="B303" t="s">
        <v>19</v>
      </c>
      <c r="C303" t="s">
        <v>450</v>
      </c>
      <c r="D303" t="s">
        <v>674</v>
      </c>
      <c r="E303" s="1" t="s">
        <v>674</v>
      </c>
      <c r="F303" t="s">
        <v>18</v>
      </c>
      <c r="N303">
        <f t="shared" si="4"/>
        <v>0</v>
      </c>
    </row>
    <row r="304" spans="1:14" ht="80" hidden="1" x14ac:dyDescent="0.2">
      <c r="A304">
        <v>318</v>
      </c>
      <c r="B304" t="s">
        <v>14</v>
      </c>
      <c r="C304" t="s">
        <v>40</v>
      </c>
      <c r="D304" t="s">
        <v>675</v>
      </c>
      <c r="E304" s="1" t="s">
        <v>676</v>
      </c>
      <c r="F304" t="s">
        <v>18</v>
      </c>
      <c r="N304">
        <f t="shared" si="4"/>
        <v>0</v>
      </c>
    </row>
    <row r="305" spans="1:14" ht="80" hidden="1" x14ac:dyDescent="0.2">
      <c r="A305">
        <v>319</v>
      </c>
      <c r="B305" t="s">
        <v>14</v>
      </c>
      <c r="C305" t="s">
        <v>37</v>
      </c>
      <c r="D305" t="s">
        <v>677</v>
      </c>
      <c r="E305" s="1" t="s">
        <v>678</v>
      </c>
      <c r="F305" t="s">
        <v>18</v>
      </c>
      <c r="N305">
        <f t="shared" si="4"/>
        <v>0</v>
      </c>
    </row>
    <row r="306" spans="1:14" ht="64" hidden="1" x14ac:dyDescent="0.2">
      <c r="A306">
        <v>320</v>
      </c>
      <c r="B306" t="s">
        <v>19</v>
      </c>
      <c r="C306" t="s">
        <v>46</v>
      </c>
      <c r="D306" t="s">
        <v>679</v>
      </c>
      <c r="E306" s="1" t="s">
        <v>680</v>
      </c>
      <c r="F306" t="s">
        <v>18</v>
      </c>
      <c r="N306">
        <f t="shared" si="4"/>
        <v>0</v>
      </c>
    </row>
    <row r="307" spans="1:14" ht="80" x14ac:dyDescent="0.2">
      <c r="A307">
        <v>321</v>
      </c>
      <c r="B307" t="s">
        <v>34</v>
      </c>
      <c r="C307" t="s">
        <v>681</v>
      </c>
      <c r="D307" t="s">
        <v>682</v>
      </c>
      <c r="E307" s="1" t="s">
        <v>683</v>
      </c>
      <c r="F307" t="s">
        <v>18</v>
      </c>
      <c r="N307">
        <f t="shared" si="4"/>
        <v>0</v>
      </c>
    </row>
    <row r="308" spans="1:14" ht="64" hidden="1" x14ac:dyDescent="0.2">
      <c r="A308">
        <v>322</v>
      </c>
      <c r="B308" t="s">
        <v>19</v>
      </c>
      <c r="C308" t="s">
        <v>475</v>
      </c>
      <c r="D308" t="s">
        <v>684</v>
      </c>
      <c r="E308" s="1" t="s">
        <v>685</v>
      </c>
      <c r="F308" t="s">
        <v>18</v>
      </c>
      <c r="N308">
        <f t="shared" si="4"/>
        <v>0</v>
      </c>
    </row>
    <row r="309" spans="1:14" ht="64" hidden="1" x14ac:dyDescent="0.2">
      <c r="A309">
        <v>323</v>
      </c>
      <c r="B309" t="s">
        <v>19</v>
      </c>
      <c r="C309" t="s">
        <v>100</v>
      </c>
      <c r="D309" t="s">
        <v>686</v>
      </c>
      <c r="E309" s="1" t="s">
        <v>687</v>
      </c>
      <c r="F309" t="s">
        <v>18</v>
      </c>
      <c r="N309">
        <f t="shared" si="4"/>
        <v>0</v>
      </c>
    </row>
    <row r="310" spans="1:14" ht="128" x14ac:dyDescent="0.2">
      <c r="A310">
        <v>324</v>
      </c>
      <c r="B310" t="s">
        <v>34</v>
      </c>
      <c r="C310" t="s">
        <v>46</v>
      </c>
      <c r="D310" t="s">
        <v>688</v>
      </c>
      <c r="E310" s="1" t="s">
        <v>689</v>
      </c>
      <c r="F310" t="s">
        <v>18</v>
      </c>
      <c r="N310">
        <f t="shared" si="4"/>
        <v>0</v>
      </c>
    </row>
    <row r="311" spans="1:14" ht="112" x14ac:dyDescent="0.2">
      <c r="A311">
        <v>325</v>
      </c>
      <c r="B311" t="s">
        <v>34</v>
      </c>
      <c r="C311" t="s">
        <v>26</v>
      </c>
      <c r="D311" t="s">
        <v>690</v>
      </c>
      <c r="E311" s="1" t="s">
        <v>691</v>
      </c>
      <c r="F311" t="s">
        <v>18</v>
      </c>
      <c r="N311">
        <f t="shared" si="4"/>
        <v>0</v>
      </c>
    </row>
    <row r="312" spans="1:14" ht="96" hidden="1" x14ac:dyDescent="0.2">
      <c r="A312">
        <v>326</v>
      </c>
      <c r="B312" t="s">
        <v>14</v>
      </c>
      <c r="C312" t="s">
        <v>572</v>
      </c>
      <c r="D312" t="s">
        <v>692</v>
      </c>
      <c r="E312" s="1" t="s">
        <v>693</v>
      </c>
      <c r="F312" t="s">
        <v>18</v>
      </c>
      <c r="N312">
        <f t="shared" si="4"/>
        <v>0</v>
      </c>
    </row>
    <row r="313" spans="1:14" ht="64" x14ac:dyDescent="0.2">
      <c r="A313">
        <v>327</v>
      </c>
      <c r="B313" t="s">
        <v>34</v>
      </c>
      <c r="C313" t="s">
        <v>453</v>
      </c>
      <c r="D313" t="s">
        <v>694</v>
      </c>
      <c r="E313" s="1" t="s">
        <v>695</v>
      </c>
      <c r="F313" t="s">
        <v>18</v>
      </c>
      <c r="N313">
        <f t="shared" si="4"/>
        <v>0</v>
      </c>
    </row>
    <row r="314" spans="1:14" ht="112" hidden="1" x14ac:dyDescent="0.2">
      <c r="A314">
        <v>328</v>
      </c>
      <c r="B314" t="s">
        <v>19</v>
      </c>
      <c r="C314" t="s">
        <v>31</v>
      </c>
      <c r="D314" t="s">
        <v>696</v>
      </c>
      <c r="E314" s="1" t="s">
        <v>697</v>
      </c>
      <c r="F314" t="s">
        <v>18</v>
      </c>
      <c r="N314">
        <f t="shared" si="4"/>
        <v>0</v>
      </c>
    </row>
    <row r="315" spans="1:14" ht="176" hidden="1" x14ac:dyDescent="0.2">
      <c r="A315">
        <v>329</v>
      </c>
      <c r="B315" t="s">
        <v>14</v>
      </c>
      <c r="C315" t="s">
        <v>46</v>
      </c>
      <c r="D315" t="s">
        <v>698</v>
      </c>
      <c r="E315" s="1" t="s">
        <v>699</v>
      </c>
      <c r="F315" t="s">
        <v>18</v>
      </c>
      <c r="N315">
        <f t="shared" si="4"/>
        <v>0</v>
      </c>
    </row>
    <row r="316" spans="1:14" ht="128" hidden="1" x14ac:dyDescent="0.2">
      <c r="A316">
        <v>330</v>
      </c>
      <c r="B316" t="s">
        <v>14</v>
      </c>
      <c r="C316" t="s">
        <v>100</v>
      </c>
      <c r="D316" t="s">
        <v>700</v>
      </c>
      <c r="E316" s="1" t="s">
        <v>701</v>
      </c>
      <c r="F316" t="s">
        <v>18</v>
      </c>
      <c r="N316">
        <f t="shared" si="4"/>
        <v>0</v>
      </c>
    </row>
    <row r="317" spans="1:14" ht="80" hidden="1" x14ac:dyDescent="0.2">
      <c r="A317">
        <v>331</v>
      </c>
      <c r="B317" t="s">
        <v>19</v>
      </c>
      <c r="C317" t="s">
        <v>204</v>
      </c>
      <c r="D317" t="s">
        <v>702</v>
      </c>
      <c r="E317" s="1" t="s">
        <v>703</v>
      </c>
      <c r="F317" t="s">
        <v>18</v>
      </c>
      <c r="N317">
        <f t="shared" si="4"/>
        <v>0</v>
      </c>
    </row>
    <row r="318" spans="1:14" ht="32" x14ac:dyDescent="0.2">
      <c r="A318">
        <v>332</v>
      </c>
      <c r="B318" t="s">
        <v>34</v>
      </c>
      <c r="C318" t="s">
        <v>26</v>
      </c>
      <c r="E318" s="1" t="s">
        <v>704</v>
      </c>
      <c r="F318" t="s">
        <v>18</v>
      </c>
      <c r="N318">
        <f t="shared" si="4"/>
        <v>0</v>
      </c>
    </row>
    <row r="319" spans="1:14" ht="80" hidden="1" x14ac:dyDescent="0.2">
      <c r="A319">
        <v>333</v>
      </c>
      <c r="B319" t="s">
        <v>19</v>
      </c>
      <c r="C319" t="s">
        <v>240</v>
      </c>
      <c r="D319" t="s">
        <v>705</v>
      </c>
      <c r="E319" s="1" t="s">
        <v>706</v>
      </c>
      <c r="F319" t="s">
        <v>18</v>
      </c>
      <c r="N319">
        <f t="shared" si="4"/>
        <v>0</v>
      </c>
    </row>
    <row r="320" spans="1:14" ht="96" x14ac:dyDescent="0.2">
      <c r="A320">
        <v>334</v>
      </c>
      <c r="B320" t="s">
        <v>34</v>
      </c>
      <c r="C320" t="s">
        <v>43</v>
      </c>
      <c r="D320" t="s">
        <v>707</v>
      </c>
      <c r="E320" s="1" t="s">
        <v>708</v>
      </c>
      <c r="F320" t="s">
        <v>18</v>
      </c>
      <c r="N320">
        <f t="shared" si="4"/>
        <v>0</v>
      </c>
    </row>
    <row r="321" spans="1:14" ht="176" hidden="1" x14ac:dyDescent="0.2">
      <c r="A321">
        <v>335</v>
      </c>
      <c r="B321" t="s">
        <v>14</v>
      </c>
      <c r="C321" t="s">
        <v>20</v>
      </c>
      <c r="D321" t="s">
        <v>709</v>
      </c>
      <c r="E321" s="1" t="s">
        <v>710</v>
      </c>
      <c r="F321" t="s">
        <v>18</v>
      </c>
      <c r="N321">
        <f t="shared" si="4"/>
        <v>0</v>
      </c>
    </row>
    <row r="322" spans="1:14" ht="48" hidden="1" x14ac:dyDescent="0.2">
      <c r="A322">
        <v>336</v>
      </c>
      <c r="B322" t="s">
        <v>19</v>
      </c>
      <c r="C322" t="s">
        <v>68</v>
      </c>
      <c r="D322" t="s">
        <v>711</v>
      </c>
      <c r="E322" s="1" t="s">
        <v>712</v>
      </c>
      <c r="F322" t="s">
        <v>18</v>
      </c>
      <c r="N322">
        <f t="shared" ref="N322:N385" si="5">COUNTA(G322:M322)</f>
        <v>0</v>
      </c>
    </row>
    <row r="323" spans="1:14" ht="32" hidden="1" x14ac:dyDescent="0.2">
      <c r="A323">
        <v>337</v>
      </c>
      <c r="B323" t="s">
        <v>14</v>
      </c>
      <c r="C323" t="s">
        <v>40</v>
      </c>
      <c r="D323" t="s">
        <v>713</v>
      </c>
      <c r="E323" s="1" t="s">
        <v>714</v>
      </c>
      <c r="F323" t="s">
        <v>18</v>
      </c>
      <c r="N323">
        <f t="shared" si="5"/>
        <v>0</v>
      </c>
    </row>
    <row r="324" spans="1:14" ht="32" hidden="1" x14ac:dyDescent="0.2">
      <c r="A324">
        <v>338</v>
      </c>
      <c r="B324" t="s">
        <v>19</v>
      </c>
      <c r="C324" t="s">
        <v>31</v>
      </c>
      <c r="D324" t="s">
        <v>715</v>
      </c>
      <c r="E324" s="1" t="s">
        <v>716</v>
      </c>
      <c r="F324" t="s">
        <v>18</v>
      </c>
      <c r="N324">
        <f t="shared" si="5"/>
        <v>0</v>
      </c>
    </row>
    <row r="325" spans="1:14" ht="48" x14ac:dyDescent="0.2">
      <c r="A325">
        <v>339</v>
      </c>
      <c r="B325" t="s">
        <v>34</v>
      </c>
      <c r="C325" t="s">
        <v>68</v>
      </c>
      <c r="D325" t="s">
        <v>717</v>
      </c>
      <c r="E325" s="1" t="s">
        <v>718</v>
      </c>
      <c r="F325" t="s">
        <v>18</v>
      </c>
      <c r="N325">
        <f t="shared" si="5"/>
        <v>0</v>
      </c>
    </row>
    <row r="326" spans="1:14" ht="48" x14ac:dyDescent="0.2">
      <c r="A326">
        <v>340</v>
      </c>
      <c r="B326" t="s">
        <v>34</v>
      </c>
      <c r="C326" t="s">
        <v>20</v>
      </c>
      <c r="D326" t="s">
        <v>719</v>
      </c>
      <c r="E326" s="1" t="s">
        <v>720</v>
      </c>
      <c r="F326" t="s">
        <v>18</v>
      </c>
      <c r="N326">
        <f t="shared" si="5"/>
        <v>0</v>
      </c>
    </row>
    <row r="327" spans="1:14" ht="176" x14ac:dyDescent="0.2">
      <c r="A327">
        <v>341</v>
      </c>
      <c r="B327" t="s">
        <v>34</v>
      </c>
      <c r="C327" t="s">
        <v>20</v>
      </c>
      <c r="D327" t="s">
        <v>721</v>
      </c>
      <c r="E327" s="1" t="s">
        <v>722</v>
      </c>
      <c r="F327" t="s">
        <v>18</v>
      </c>
      <c r="N327">
        <f t="shared" si="5"/>
        <v>0</v>
      </c>
    </row>
    <row r="328" spans="1:14" ht="128" hidden="1" x14ac:dyDescent="0.2">
      <c r="A328">
        <v>342</v>
      </c>
      <c r="B328" t="s">
        <v>19</v>
      </c>
      <c r="C328" t="s">
        <v>23</v>
      </c>
      <c r="D328" t="s">
        <v>723</v>
      </c>
      <c r="E328" s="1" t="s">
        <v>724</v>
      </c>
      <c r="F328" t="s">
        <v>18</v>
      </c>
      <c r="N328">
        <f t="shared" si="5"/>
        <v>0</v>
      </c>
    </row>
    <row r="329" spans="1:14" ht="64" hidden="1" x14ac:dyDescent="0.2">
      <c r="A329">
        <v>343</v>
      </c>
      <c r="B329" t="s">
        <v>19</v>
      </c>
      <c r="C329" t="s">
        <v>20</v>
      </c>
      <c r="D329" t="s">
        <v>725</v>
      </c>
      <c r="E329" s="1" t="s">
        <v>726</v>
      </c>
      <c r="F329" t="s">
        <v>18</v>
      </c>
      <c r="N329">
        <f t="shared" si="5"/>
        <v>0</v>
      </c>
    </row>
    <row r="330" spans="1:14" ht="128" hidden="1" x14ac:dyDescent="0.2">
      <c r="A330">
        <v>344</v>
      </c>
      <c r="B330" t="s">
        <v>14</v>
      </c>
      <c r="C330" t="s">
        <v>727</v>
      </c>
      <c r="D330" t="s">
        <v>728</v>
      </c>
      <c r="E330" s="1" t="s">
        <v>729</v>
      </c>
      <c r="F330" t="s">
        <v>18</v>
      </c>
      <c r="N330">
        <f t="shared" si="5"/>
        <v>0</v>
      </c>
    </row>
    <row r="331" spans="1:14" ht="112" hidden="1" x14ac:dyDescent="0.2">
      <c r="A331">
        <v>345</v>
      </c>
      <c r="B331" t="s">
        <v>19</v>
      </c>
      <c r="C331" t="s">
        <v>20</v>
      </c>
      <c r="D331" t="s">
        <v>730</v>
      </c>
      <c r="E331" s="1" t="s">
        <v>731</v>
      </c>
      <c r="F331" t="s">
        <v>18</v>
      </c>
      <c r="N331">
        <f t="shared" si="5"/>
        <v>0</v>
      </c>
    </row>
    <row r="332" spans="1:14" ht="176" hidden="1" x14ac:dyDescent="0.2">
      <c r="A332">
        <v>346</v>
      </c>
      <c r="B332" t="s">
        <v>19</v>
      </c>
      <c r="C332" t="s">
        <v>37</v>
      </c>
      <c r="D332" t="s">
        <v>732</v>
      </c>
      <c r="E332" s="1" t="s">
        <v>733</v>
      </c>
      <c r="F332" t="s">
        <v>18</v>
      </c>
      <c r="N332">
        <f t="shared" si="5"/>
        <v>0</v>
      </c>
    </row>
    <row r="333" spans="1:14" ht="80" x14ac:dyDescent="0.2">
      <c r="A333">
        <v>347</v>
      </c>
      <c r="B333" t="s">
        <v>34</v>
      </c>
      <c r="C333" t="s">
        <v>450</v>
      </c>
      <c r="D333" t="s">
        <v>734</v>
      </c>
      <c r="E333" s="1" t="s">
        <v>735</v>
      </c>
      <c r="F333" t="s">
        <v>18</v>
      </c>
      <c r="N333">
        <f t="shared" si="5"/>
        <v>0</v>
      </c>
    </row>
    <row r="334" spans="1:14" ht="160" x14ac:dyDescent="0.2">
      <c r="A334">
        <v>348</v>
      </c>
      <c r="B334" t="s">
        <v>34</v>
      </c>
      <c r="C334" t="s">
        <v>458</v>
      </c>
      <c r="D334" t="s">
        <v>736</v>
      </c>
      <c r="E334" s="1" t="s">
        <v>737</v>
      </c>
      <c r="F334" t="s">
        <v>18</v>
      </c>
      <c r="N334">
        <f t="shared" si="5"/>
        <v>0</v>
      </c>
    </row>
    <row r="335" spans="1:14" ht="192" hidden="1" x14ac:dyDescent="0.2">
      <c r="A335">
        <v>349</v>
      </c>
      <c r="B335" t="s">
        <v>14</v>
      </c>
      <c r="C335" t="s">
        <v>738</v>
      </c>
      <c r="D335" t="s">
        <v>739</v>
      </c>
      <c r="E335" s="1" t="s">
        <v>740</v>
      </c>
      <c r="F335" t="s">
        <v>18</v>
      </c>
      <c r="N335">
        <f t="shared" si="5"/>
        <v>0</v>
      </c>
    </row>
    <row r="336" spans="1:14" ht="48" hidden="1" x14ac:dyDescent="0.2">
      <c r="A336">
        <v>350</v>
      </c>
      <c r="B336" t="s">
        <v>19</v>
      </c>
      <c r="C336" t="s">
        <v>15</v>
      </c>
      <c r="D336" t="s">
        <v>741</v>
      </c>
      <c r="E336" s="1" t="s">
        <v>742</v>
      </c>
      <c r="F336" t="s">
        <v>18</v>
      </c>
      <c r="N336">
        <f t="shared" si="5"/>
        <v>0</v>
      </c>
    </row>
    <row r="337" spans="1:14" ht="144" hidden="1" x14ac:dyDescent="0.2">
      <c r="A337">
        <v>351</v>
      </c>
      <c r="B337" t="s">
        <v>14</v>
      </c>
      <c r="C337" t="s">
        <v>95</v>
      </c>
      <c r="D337" t="s">
        <v>743</v>
      </c>
      <c r="E337" s="1" t="s">
        <v>744</v>
      </c>
      <c r="F337" t="s">
        <v>18</v>
      </c>
      <c r="N337">
        <f t="shared" si="5"/>
        <v>0</v>
      </c>
    </row>
    <row r="338" spans="1:14" ht="112" x14ac:dyDescent="0.2">
      <c r="A338">
        <v>352</v>
      </c>
      <c r="B338" t="s">
        <v>34</v>
      </c>
      <c r="C338" t="s">
        <v>82</v>
      </c>
      <c r="D338" t="s">
        <v>745</v>
      </c>
      <c r="E338" s="1" t="s">
        <v>746</v>
      </c>
      <c r="F338" t="s">
        <v>18</v>
      </c>
      <c r="N338">
        <f t="shared" si="5"/>
        <v>0</v>
      </c>
    </row>
    <row r="339" spans="1:14" ht="96" hidden="1" x14ac:dyDescent="0.2">
      <c r="A339">
        <v>353</v>
      </c>
      <c r="B339" t="s">
        <v>19</v>
      </c>
      <c r="C339" t="s">
        <v>161</v>
      </c>
      <c r="D339" t="s">
        <v>747</v>
      </c>
      <c r="E339" s="1" t="s">
        <v>748</v>
      </c>
      <c r="F339" t="s">
        <v>18</v>
      </c>
      <c r="N339">
        <f t="shared" si="5"/>
        <v>0</v>
      </c>
    </row>
    <row r="340" spans="1:14" ht="144" hidden="1" x14ac:dyDescent="0.2">
      <c r="A340">
        <v>354</v>
      </c>
      <c r="B340" t="s">
        <v>14</v>
      </c>
      <c r="C340" t="s">
        <v>20</v>
      </c>
      <c r="D340" t="s">
        <v>749</v>
      </c>
      <c r="E340" s="1" t="s">
        <v>750</v>
      </c>
      <c r="F340" t="s">
        <v>18</v>
      </c>
      <c r="N340">
        <f t="shared" si="5"/>
        <v>0</v>
      </c>
    </row>
    <row r="341" spans="1:14" ht="144" hidden="1" x14ac:dyDescent="0.2">
      <c r="A341">
        <v>355</v>
      </c>
      <c r="B341" t="s">
        <v>14</v>
      </c>
      <c r="C341" t="s">
        <v>37</v>
      </c>
      <c r="D341" t="s">
        <v>751</v>
      </c>
      <c r="E341" s="1" t="s">
        <v>752</v>
      </c>
      <c r="F341" t="s">
        <v>18</v>
      </c>
      <c r="N341">
        <f t="shared" si="5"/>
        <v>0</v>
      </c>
    </row>
    <row r="342" spans="1:14" ht="32" hidden="1" x14ac:dyDescent="0.2">
      <c r="A342">
        <v>356</v>
      </c>
      <c r="B342" t="s">
        <v>14</v>
      </c>
      <c r="C342" t="s">
        <v>572</v>
      </c>
      <c r="D342" t="s">
        <v>753</v>
      </c>
      <c r="E342" s="1" t="s">
        <v>754</v>
      </c>
      <c r="F342" t="s">
        <v>18</v>
      </c>
      <c r="N342">
        <f t="shared" si="5"/>
        <v>0</v>
      </c>
    </row>
    <row r="343" spans="1:14" ht="128" hidden="1" x14ac:dyDescent="0.2">
      <c r="A343">
        <v>357</v>
      </c>
      <c r="B343" t="s">
        <v>14</v>
      </c>
      <c r="C343" t="s">
        <v>204</v>
      </c>
      <c r="D343" t="s">
        <v>755</v>
      </c>
      <c r="E343" s="1" t="s">
        <v>756</v>
      </c>
      <c r="F343" t="s">
        <v>18</v>
      </c>
      <c r="N343">
        <f t="shared" si="5"/>
        <v>0</v>
      </c>
    </row>
    <row r="344" spans="1:14" ht="80" hidden="1" x14ac:dyDescent="0.2">
      <c r="A344">
        <v>358</v>
      </c>
      <c r="B344" t="s">
        <v>14</v>
      </c>
      <c r="C344" t="s">
        <v>100</v>
      </c>
      <c r="D344" t="s">
        <v>757</v>
      </c>
      <c r="E344" s="1" t="s">
        <v>758</v>
      </c>
      <c r="F344" t="s">
        <v>18</v>
      </c>
      <c r="N344">
        <f t="shared" si="5"/>
        <v>0</v>
      </c>
    </row>
    <row r="345" spans="1:14" ht="96" x14ac:dyDescent="0.2">
      <c r="A345">
        <v>359</v>
      </c>
      <c r="B345" t="s">
        <v>34</v>
      </c>
      <c r="C345" t="s">
        <v>326</v>
      </c>
      <c r="D345" t="s">
        <v>759</v>
      </c>
      <c r="E345" s="1" t="s">
        <v>760</v>
      </c>
      <c r="F345" t="s">
        <v>18</v>
      </c>
      <c r="N345">
        <f t="shared" si="5"/>
        <v>0</v>
      </c>
    </row>
    <row r="346" spans="1:14" ht="112" hidden="1" x14ac:dyDescent="0.2">
      <c r="A346">
        <v>360</v>
      </c>
      <c r="B346" t="s">
        <v>19</v>
      </c>
      <c r="C346" t="s">
        <v>500</v>
      </c>
      <c r="D346" t="s">
        <v>761</v>
      </c>
      <c r="E346" s="1" t="s">
        <v>762</v>
      </c>
      <c r="F346" t="s">
        <v>18</v>
      </c>
      <c r="N346">
        <f t="shared" si="5"/>
        <v>0</v>
      </c>
    </row>
    <row r="347" spans="1:14" ht="208" hidden="1" x14ac:dyDescent="0.2">
      <c r="A347">
        <v>361</v>
      </c>
      <c r="B347" t="s">
        <v>19</v>
      </c>
      <c r="C347" t="s">
        <v>31</v>
      </c>
      <c r="D347" t="s">
        <v>763</v>
      </c>
      <c r="E347" s="1" t="s">
        <v>764</v>
      </c>
      <c r="F347" t="s">
        <v>18</v>
      </c>
      <c r="N347">
        <f t="shared" si="5"/>
        <v>0</v>
      </c>
    </row>
    <row r="348" spans="1:14" ht="48" x14ac:dyDescent="0.2">
      <c r="A348">
        <v>362</v>
      </c>
      <c r="B348" t="s">
        <v>34</v>
      </c>
      <c r="C348" t="s">
        <v>43</v>
      </c>
      <c r="D348" t="s">
        <v>765</v>
      </c>
      <c r="E348" s="1" t="s">
        <v>766</v>
      </c>
      <c r="F348" t="s">
        <v>18</v>
      </c>
      <c r="N348">
        <f t="shared" si="5"/>
        <v>0</v>
      </c>
    </row>
    <row r="349" spans="1:14" ht="64" hidden="1" x14ac:dyDescent="0.2">
      <c r="A349">
        <v>363</v>
      </c>
      <c r="B349" t="s">
        <v>19</v>
      </c>
      <c r="C349" t="s">
        <v>767</v>
      </c>
      <c r="D349" t="s">
        <v>768</v>
      </c>
      <c r="E349" s="1" t="s">
        <v>769</v>
      </c>
      <c r="F349" t="s">
        <v>18</v>
      </c>
      <c r="N349">
        <f t="shared" si="5"/>
        <v>0</v>
      </c>
    </row>
    <row r="350" spans="1:14" ht="32" hidden="1" x14ac:dyDescent="0.2">
      <c r="A350">
        <v>364</v>
      </c>
      <c r="B350" t="s">
        <v>19</v>
      </c>
      <c r="C350" t="s">
        <v>31</v>
      </c>
      <c r="D350" t="s">
        <v>770</v>
      </c>
      <c r="E350" s="1" t="s">
        <v>771</v>
      </c>
      <c r="F350" t="s">
        <v>18</v>
      </c>
      <c r="N350">
        <f t="shared" si="5"/>
        <v>0</v>
      </c>
    </row>
    <row r="351" spans="1:14" ht="112" hidden="1" x14ac:dyDescent="0.2">
      <c r="A351">
        <v>365</v>
      </c>
      <c r="B351" t="s">
        <v>14</v>
      </c>
      <c r="C351" t="s">
        <v>20</v>
      </c>
      <c r="D351" t="s">
        <v>772</v>
      </c>
      <c r="E351" s="1" t="s">
        <v>773</v>
      </c>
      <c r="F351" t="s">
        <v>18</v>
      </c>
      <c r="N351">
        <f t="shared" si="5"/>
        <v>0</v>
      </c>
    </row>
    <row r="352" spans="1:14" ht="48" hidden="1" x14ac:dyDescent="0.2">
      <c r="A352">
        <v>366</v>
      </c>
      <c r="B352" t="s">
        <v>19</v>
      </c>
      <c r="C352" t="s">
        <v>774</v>
      </c>
      <c r="D352" t="s">
        <v>775</v>
      </c>
      <c r="E352" s="1" t="s">
        <v>776</v>
      </c>
      <c r="F352" t="s">
        <v>18</v>
      </c>
      <c r="N352">
        <f t="shared" si="5"/>
        <v>0</v>
      </c>
    </row>
    <row r="353" spans="1:14" ht="80" hidden="1" x14ac:dyDescent="0.2">
      <c r="A353">
        <v>367</v>
      </c>
      <c r="B353" t="s">
        <v>19</v>
      </c>
      <c r="C353" t="s">
        <v>118</v>
      </c>
      <c r="D353" t="s">
        <v>777</v>
      </c>
      <c r="E353" s="1" t="s">
        <v>778</v>
      </c>
      <c r="F353" t="s">
        <v>18</v>
      </c>
      <c r="N353">
        <f t="shared" si="5"/>
        <v>0</v>
      </c>
    </row>
    <row r="354" spans="1:14" ht="112" hidden="1" x14ac:dyDescent="0.2">
      <c r="A354">
        <v>368</v>
      </c>
      <c r="B354" t="s">
        <v>14</v>
      </c>
      <c r="C354" t="s">
        <v>20</v>
      </c>
      <c r="D354" t="s">
        <v>779</v>
      </c>
      <c r="E354" s="1" t="s">
        <v>780</v>
      </c>
      <c r="F354" t="s">
        <v>18</v>
      </c>
      <c r="N354">
        <f t="shared" si="5"/>
        <v>0</v>
      </c>
    </row>
    <row r="355" spans="1:14" ht="96" hidden="1" x14ac:dyDescent="0.2">
      <c r="A355">
        <v>369</v>
      </c>
      <c r="B355" t="s">
        <v>19</v>
      </c>
      <c r="C355" t="s">
        <v>118</v>
      </c>
      <c r="D355" t="s">
        <v>781</v>
      </c>
      <c r="E355" s="1" t="s">
        <v>782</v>
      </c>
      <c r="F355" t="s">
        <v>18</v>
      </c>
      <c r="N355">
        <f t="shared" si="5"/>
        <v>0</v>
      </c>
    </row>
    <row r="356" spans="1:14" ht="128" x14ac:dyDescent="0.2">
      <c r="A356">
        <v>370</v>
      </c>
      <c r="B356" t="s">
        <v>34</v>
      </c>
      <c r="C356" t="s">
        <v>783</v>
      </c>
      <c r="D356" t="s">
        <v>784</v>
      </c>
      <c r="E356" s="1" t="s">
        <v>785</v>
      </c>
      <c r="F356" t="s">
        <v>18</v>
      </c>
      <c r="N356">
        <f t="shared" si="5"/>
        <v>0</v>
      </c>
    </row>
    <row r="357" spans="1:14" ht="64" hidden="1" x14ac:dyDescent="0.2">
      <c r="A357">
        <v>371</v>
      </c>
      <c r="B357" t="s">
        <v>14</v>
      </c>
      <c r="C357" t="s">
        <v>20</v>
      </c>
      <c r="D357" t="s">
        <v>786</v>
      </c>
      <c r="E357" s="1" t="s">
        <v>787</v>
      </c>
      <c r="F357" t="s">
        <v>18</v>
      </c>
      <c r="N357">
        <f t="shared" si="5"/>
        <v>0</v>
      </c>
    </row>
    <row r="358" spans="1:14" ht="32" x14ac:dyDescent="0.2">
      <c r="A358">
        <v>372</v>
      </c>
      <c r="B358" t="s">
        <v>34</v>
      </c>
      <c r="C358" t="s">
        <v>46</v>
      </c>
      <c r="D358" t="s">
        <v>788</v>
      </c>
      <c r="E358" s="1" t="s">
        <v>789</v>
      </c>
      <c r="F358" t="s">
        <v>18</v>
      </c>
      <c r="N358">
        <f t="shared" si="5"/>
        <v>0</v>
      </c>
    </row>
    <row r="359" spans="1:14" ht="64" hidden="1" x14ac:dyDescent="0.2">
      <c r="A359">
        <v>373</v>
      </c>
      <c r="B359" t="s">
        <v>14</v>
      </c>
      <c r="C359" t="s">
        <v>31</v>
      </c>
      <c r="D359" t="s">
        <v>790</v>
      </c>
      <c r="E359" s="1" t="s">
        <v>791</v>
      </c>
      <c r="F359" t="s">
        <v>18</v>
      </c>
      <c r="N359">
        <f t="shared" si="5"/>
        <v>0</v>
      </c>
    </row>
    <row r="360" spans="1:14" ht="64" hidden="1" x14ac:dyDescent="0.2">
      <c r="A360">
        <v>374</v>
      </c>
      <c r="B360" t="s">
        <v>14</v>
      </c>
      <c r="C360" t="s">
        <v>46</v>
      </c>
      <c r="D360" t="s">
        <v>792</v>
      </c>
      <c r="E360" s="1" t="s">
        <v>793</v>
      </c>
      <c r="F360" t="s">
        <v>18</v>
      </c>
      <c r="N360">
        <f t="shared" si="5"/>
        <v>0</v>
      </c>
    </row>
    <row r="361" spans="1:14" ht="160" hidden="1" x14ac:dyDescent="0.2">
      <c r="A361">
        <v>375</v>
      </c>
      <c r="B361" t="s">
        <v>19</v>
      </c>
      <c r="C361" t="s">
        <v>20</v>
      </c>
      <c r="D361" t="s">
        <v>794</v>
      </c>
      <c r="E361" s="1" t="s">
        <v>795</v>
      </c>
      <c r="F361" t="s">
        <v>18</v>
      </c>
      <c r="N361">
        <f t="shared" si="5"/>
        <v>0</v>
      </c>
    </row>
    <row r="362" spans="1:14" ht="176" x14ac:dyDescent="0.2">
      <c r="A362">
        <v>376</v>
      </c>
      <c r="B362" t="s">
        <v>34</v>
      </c>
      <c r="C362" t="s">
        <v>20</v>
      </c>
      <c r="D362" t="s">
        <v>796</v>
      </c>
      <c r="E362" s="1" t="s">
        <v>797</v>
      </c>
      <c r="F362" t="s">
        <v>18</v>
      </c>
      <c r="N362">
        <f t="shared" si="5"/>
        <v>0</v>
      </c>
    </row>
    <row r="363" spans="1:14" ht="112" hidden="1" x14ac:dyDescent="0.2">
      <c r="A363">
        <v>377</v>
      </c>
      <c r="B363" t="s">
        <v>14</v>
      </c>
      <c r="C363" t="s">
        <v>68</v>
      </c>
      <c r="D363" t="s">
        <v>798</v>
      </c>
      <c r="E363" s="1" t="s">
        <v>799</v>
      </c>
      <c r="F363" t="s">
        <v>18</v>
      </c>
      <c r="N363">
        <f t="shared" si="5"/>
        <v>0</v>
      </c>
    </row>
    <row r="364" spans="1:14" ht="64" hidden="1" x14ac:dyDescent="0.2">
      <c r="A364">
        <v>378</v>
      </c>
      <c r="B364" t="s">
        <v>19</v>
      </c>
      <c r="C364" t="s">
        <v>800</v>
      </c>
      <c r="D364" t="s">
        <v>801</v>
      </c>
      <c r="E364" s="1" t="s">
        <v>802</v>
      </c>
      <c r="F364" t="s">
        <v>18</v>
      </c>
      <c r="N364">
        <f t="shared" si="5"/>
        <v>0</v>
      </c>
    </row>
    <row r="365" spans="1:14" ht="64" x14ac:dyDescent="0.2">
      <c r="A365">
        <v>379</v>
      </c>
      <c r="B365" t="s">
        <v>34</v>
      </c>
      <c r="C365" t="s">
        <v>68</v>
      </c>
      <c r="D365" t="s">
        <v>803</v>
      </c>
      <c r="E365" s="1" t="s">
        <v>804</v>
      </c>
      <c r="F365" t="s">
        <v>18</v>
      </c>
      <c r="N365">
        <f t="shared" si="5"/>
        <v>0</v>
      </c>
    </row>
    <row r="366" spans="1:14" ht="80" hidden="1" x14ac:dyDescent="0.2">
      <c r="A366">
        <v>380</v>
      </c>
      <c r="B366" t="s">
        <v>19</v>
      </c>
      <c r="C366" t="s">
        <v>805</v>
      </c>
      <c r="D366" t="s">
        <v>806</v>
      </c>
      <c r="E366" s="1" t="s">
        <v>807</v>
      </c>
      <c r="F366" t="s">
        <v>18</v>
      </c>
      <c r="N366">
        <f t="shared" si="5"/>
        <v>0</v>
      </c>
    </row>
    <row r="367" spans="1:14" ht="64" x14ac:dyDescent="0.2">
      <c r="A367">
        <v>381</v>
      </c>
      <c r="B367" t="s">
        <v>34</v>
      </c>
      <c r="C367" t="s">
        <v>808</v>
      </c>
      <c r="D367" t="s">
        <v>809</v>
      </c>
      <c r="E367" s="1" t="s">
        <v>810</v>
      </c>
      <c r="F367" t="s">
        <v>18</v>
      </c>
      <c r="N367">
        <f t="shared" si="5"/>
        <v>0</v>
      </c>
    </row>
    <row r="368" spans="1:14" ht="64" x14ac:dyDescent="0.2">
      <c r="A368">
        <v>382</v>
      </c>
      <c r="B368" t="s">
        <v>34</v>
      </c>
      <c r="C368" t="s">
        <v>20</v>
      </c>
      <c r="D368" t="s">
        <v>811</v>
      </c>
      <c r="E368" s="1" t="s">
        <v>812</v>
      </c>
      <c r="F368" t="s">
        <v>18</v>
      </c>
      <c r="N368">
        <f t="shared" si="5"/>
        <v>0</v>
      </c>
    </row>
    <row r="369" spans="1:14" ht="96" hidden="1" x14ac:dyDescent="0.2">
      <c r="A369">
        <v>383</v>
      </c>
      <c r="B369" t="s">
        <v>19</v>
      </c>
      <c r="C369" t="s">
        <v>813</v>
      </c>
      <c r="D369" t="s">
        <v>814</v>
      </c>
      <c r="E369" s="1" t="s">
        <v>815</v>
      </c>
      <c r="F369" t="s">
        <v>18</v>
      </c>
      <c r="N369">
        <f t="shared" si="5"/>
        <v>0</v>
      </c>
    </row>
    <row r="370" spans="1:14" ht="96" hidden="1" x14ac:dyDescent="0.2">
      <c r="A370">
        <v>384</v>
      </c>
      <c r="B370" t="s">
        <v>14</v>
      </c>
      <c r="C370" t="s">
        <v>816</v>
      </c>
      <c r="D370" t="s">
        <v>817</v>
      </c>
      <c r="E370" s="1" t="s">
        <v>818</v>
      </c>
      <c r="F370" t="s">
        <v>18</v>
      </c>
      <c r="N370">
        <f t="shared" si="5"/>
        <v>0</v>
      </c>
    </row>
    <row r="371" spans="1:14" ht="80" hidden="1" x14ac:dyDescent="0.2">
      <c r="A371">
        <v>385</v>
      </c>
      <c r="B371" t="s">
        <v>19</v>
      </c>
      <c r="C371" t="s">
        <v>40</v>
      </c>
      <c r="D371" t="s">
        <v>819</v>
      </c>
      <c r="E371" s="1" t="s">
        <v>820</v>
      </c>
      <c r="F371" t="s">
        <v>18</v>
      </c>
      <c r="N371">
        <f t="shared" si="5"/>
        <v>0</v>
      </c>
    </row>
    <row r="372" spans="1:14" ht="64" x14ac:dyDescent="0.2">
      <c r="A372">
        <v>386</v>
      </c>
      <c r="B372" t="s">
        <v>34</v>
      </c>
      <c r="C372" t="s">
        <v>43</v>
      </c>
      <c r="D372" t="s">
        <v>821</v>
      </c>
      <c r="E372" s="1" t="s">
        <v>822</v>
      </c>
      <c r="F372" t="s">
        <v>18</v>
      </c>
      <c r="N372">
        <f t="shared" si="5"/>
        <v>0</v>
      </c>
    </row>
    <row r="373" spans="1:14" ht="16" hidden="1" x14ac:dyDescent="0.2">
      <c r="A373">
        <v>388</v>
      </c>
      <c r="B373" t="s">
        <v>19</v>
      </c>
      <c r="C373" t="s">
        <v>823</v>
      </c>
      <c r="D373" t="s">
        <v>824</v>
      </c>
      <c r="E373" s="1" t="s">
        <v>824</v>
      </c>
      <c r="F373" t="s">
        <v>18</v>
      </c>
      <c r="N373">
        <f t="shared" si="5"/>
        <v>0</v>
      </c>
    </row>
    <row r="374" spans="1:14" ht="32" hidden="1" x14ac:dyDescent="0.2">
      <c r="A374">
        <v>389</v>
      </c>
      <c r="B374" t="s">
        <v>14</v>
      </c>
      <c r="C374" t="s">
        <v>20</v>
      </c>
      <c r="D374" t="s">
        <v>825</v>
      </c>
      <c r="E374" s="1" t="s">
        <v>826</v>
      </c>
      <c r="F374" t="s">
        <v>18</v>
      </c>
      <c r="N374">
        <f t="shared" si="5"/>
        <v>0</v>
      </c>
    </row>
    <row r="375" spans="1:14" ht="48" hidden="1" x14ac:dyDescent="0.2">
      <c r="A375">
        <v>390</v>
      </c>
      <c r="B375" t="s">
        <v>19</v>
      </c>
      <c r="C375" t="s">
        <v>118</v>
      </c>
      <c r="D375" t="s">
        <v>827</v>
      </c>
      <c r="E375" s="1" t="s">
        <v>828</v>
      </c>
      <c r="F375" t="s">
        <v>18</v>
      </c>
      <c r="N375">
        <f t="shared" si="5"/>
        <v>0</v>
      </c>
    </row>
    <row r="376" spans="1:14" ht="128" hidden="1" x14ac:dyDescent="0.2">
      <c r="A376">
        <v>391</v>
      </c>
      <c r="B376" t="s">
        <v>14</v>
      </c>
      <c r="C376" t="s">
        <v>31</v>
      </c>
      <c r="D376" t="s">
        <v>829</v>
      </c>
      <c r="E376" s="1" t="s">
        <v>830</v>
      </c>
      <c r="F376" t="s">
        <v>18</v>
      </c>
      <c r="N376">
        <f t="shared" si="5"/>
        <v>0</v>
      </c>
    </row>
    <row r="377" spans="1:14" ht="144" hidden="1" x14ac:dyDescent="0.2">
      <c r="A377">
        <v>392</v>
      </c>
      <c r="B377" t="s">
        <v>14</v>
      </c>
      <c r="C377" t="s">
        <v>20</v>
      </c>
      <c r="D377" t="s">
        <v>831</v>
      </c>
      <c r="E377" s="1" t="s">
        <v>832</v>
      </c>
      <c r="F377" t="s">
        <v>18</v>
      </c>
      <c r="N377">
        <f t="shared" si="5"/>
        <v>0</v>
      </c>
    </row>
    <row r="378" spans="1:14" ht="48" hidden="1" x14ac:dyDescent="0.2">
      <c r="A378">
        <v>393</v>
      </c>
      <c r="B378" t="s">
        <v>19</v>
      </c>
      <c r="C378" t="s">
        <v>37</v>
      </c>
      <c r="D378" t="s">
        <v>833</v>
      </c>
      <c r="E378" s="1" t="s">
        <v>834</v>
      </c>
      <c r="F378" t="s">
        <v>18</v>
      </c>
      <c r="N378">
        <f t="shared" si="5"/>
        <v>0</v>
      </c>
    </row>
    <row r="379" spans="1:14" ht="64" x14ac:dyDescent="0.2">
      <c r="A379">
        <v>394</v>
      </c>
      <c r="B379" t="s">
        <v>34</v>
      </c>
      <c r="C379" t="s">
        <v>15</v>
      </c>
      <c r="D379" t="s">
        <v>835</v>
      </c>
      <c r="E379" s="1" t="s">
        <v>836</v>
      </c>
      <c r="F379" t="s">
        <v>18</v>
      </c>
      <c r="N379">
        <f t="shared" si="5"/>
        <v>0</v>
      </c>
    </row>
    <row r="380" spans="1:14" ht="48" hidden="1" x14ac:dyDescent="0.2">
      <c r="A380">
        <v>395</v>
      </c>
      <c r="B380" t="s">
        <v>19</v>
      </c>
      <c r="C380" t="s">
        <v>837</v>
      </c>
      <c r="D380" t="s">
        <v>838</v>
      </c>
      <c r="E380" s="1" t="s">
        <v>839</v>
      </c>
      <c r="F380" t="s">
        <v>18</v>
      </c>
      <c r="N380">
        <f t="shared" si="5"/>
        <v>0</v>
      </c>
    </row>
    <row r="381" spans="1:14" ht="80" hidden="1" x14ac:dyDescent="0.2">
      <c r="A381">
        <v>396</v>
      </c>
      <c r="B381" t="s">
        <v>14</v>
      </c>
      <c r="C381" t="s">
        <v>20</v>
      </c>
      <c r="D381" t="s">
        <v>840</v>
      </c>
      <c r="E381" s="1" t="s">
        <v>841</v>
      </c>
      <c r="F381" t="s">
        <v>18</v>
      </c>
      <c r="N381">
        <f t="shared" si="5"/>
        <v>0</v>
      </c>
    </row>
    <row r="382" spans="1:14" ht="80" hidden="1" x14ac:dyDescent="0.2">
      <c r="A382">
        <v>397</v>
      </c>
      <c r="B382" t="s">
        <v>19</v>
      </c>
      <c r="C382" t="s">
        <v>68</v>
      </c>
      <c r="D382" t="s">
        <v>842</v>
      </c>
      <c r="E382" s="1" t="s">
        <v>843</v>
      </c>
      <c r="F382" t="s">
        <v>18</v>
      </c>
      <c r="N382">
        <f t="shared" si="5"/>
        <v>0</v>
      </c>
    </row>
    <row r="383" spans="1:14" ht="48" hidden="1" x14ac:dyDescent="0.2">
      <c r="A383">
        <v>398</v>
      </c>
      <c r="B383" t="s">
        <v>19</v>
      </c>
      <c r="C383" t="s">
        <v>46</v>
      </c>
      <c r="D383" t="s">
        <v>844</v>
      </c>
      <c r="E383" s="1" t="s">
        <v>845</v>
      </c>
      <c r="F383" t="s">
        <v>18</v>
      </c>
      <c r="N383">
        <f t="shared" si="5"/>
        <v>0</v>
      </c>
    </row>
    <row r="384" spans="1:14" ht="64" hidden="1" x14ac:dyDescent="0.2">
      <c r="A384">
        <v>399</v>
      </c>
      <c r="B384" t="s">
        <v>14</v>
      </c>
      <c r="C384" t="s">
        <v>31</v>
      </c>
      <c r="D384" t="s">
        <v>846</v>
      </c>
      <c r="E384" s="1" t="s">
        <v>847</v>
      </c>
      <c r="F384" t="s">
        <v>18</v>
      </c>
      <c r="N384">
        <f t="shared" si="5"/>
        <v>0</v>
      </c>
    </row>
    <row r="385" spans="1:14" ht="64" x14ac:dyDescent="0.2">
      <c r="A385">
        <v>400</v>
      </c>
      <c r="B385" t="s">
        <v>34</v>
      </c>
      <c r="C385" t="s">
        <v>659</v>
      </c>
      <c r="D385" t="s">
        <v>848</v>
      </c>
      <c r="E385" s="1" t="s">
        <v>849</v>
      </c>
      <c r="F385" t="s">
        <v>18</v>
      </c>
      <c r="N385">
        <f t="shared" si="5"/>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25</v>
      </c>
      <c r="D3">
        <f>COUNTIFS(Problems!B:B,"Easy",Problems!F:F,"Not Started")</f>
        <v>100</v>
      </c>
      <c r="E3" s="4">
        <f>IF(B3&gt;0,C3/B3,0)</f>
        <v>0.2</v>
      </c>
    </row>
    <row r="4" spans="1:5" x14ac:dyDescent="0.2">
      <c r="A4" t="s">
        <v>19</v>
      </c>
      <c r="B4">
        <f>COUNTIF(Problems!B:B,"Medium")</f>
        <v>158</v>
      </c>
      <c r="C4">
        <f>COUNTIFS(Problems!B:B,"Medium",Problems!F:F,"Solved")</f>
        <v>3</v>
      </c>
      <c r="D4">
        <f>COUNTIFS(Problems!B:B,"Medium",Problems!F:F,"Not Started")</f>
        <v>155</v>
      </c>
      <c r="E4" s="4">
        <f>IF(B4&gt;0,C4/B4,0)</f>
        <v>1.8987341772151899E-2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29</v>
      </c>
      <c r="D6">
        <f>SUM(D3:D5)</f>
        <v>355</v>
      </c>
      <c r="E6" s="4">
        <f>IF(B6&gt;0,C6/B6,0)</f>
        <v>7.5520833333333329E-2</v>
      </c>
    </row>
    <row r="8" spans="1:5" ht="16" customHeight="1" x14ac:dyDescent="0.2"/>
    <row r="9" spans="1:5" x14ac:dyDescent="0.2">
      <c r="A9" s="6" t="s">
        <v>854</v>
      </c>
      <c r="B9" s="6" t="s">
        <v>851</v>
      </c>
      <c r="C9" s="6" t="s">
        <v>852</v>
      </c>
    </row>
    <row r="10" spans="1:5" x14ac:dyDescent="0.2">
      <c r="A10" t="s">
        <v>6</v>
      </c>
      <c r="B10">
        <f>COUNTA(Problems[Python])</f>
        <v>16</v>
      </c>
      <c r="C10" s="7">
        <f t="shared" ref="C10:C17" si="0">B10/$B$17</f>
        <v>0.25396825396825395</v>
      </c>
    </row>
    <row r="11" spans="1:5" x14ac:dyDescent="0.2">
      <c r="A11" t="s">
        <v>10</v>
      </c>
      <c r="B11">
        <f>COUNTA(Problems[C++])</f>
        <v>4</v>
      </c>
      <c r="C11" s="7">
        <f t="shared" si="0"/>
        <v>6.3492063492063489E-2</v>
      </c>
    </row>
    <row r="12" spans="1:5" x14ac:dyDescent="0.2">
      <c r="A12" t="s">
        <v>9</v>
      </c>
      <c r="B12">
        <f>COUNTA(Problems[Rust])</f>
        <v>27</v>
      </c>
      <c r="C12" s="7">
        <f t="shared" si="0"/>
        <v>0.42857142857142855</v>
      </c>
    </row>
    <row r="13" spans="1:5" x14ac:dyDescent="0.2">
      <c r="A13" t="s">
        <v>8</v>
      </c>
      <c r="B13">
        <f>COUNTA(Problems[TypeScript])</f>
        <v>3</v>
      </c>
      <c r="C13" s="7">
        <f t="shared" si="0"/>
        <v>4.7619047619047616E-2</v>
      </c>
    </row>
    <row r="14" spans="1:5" x14ac:dyDescent="0.2">
      <c r="A14" t="s">
        <v>7</v>
      </c>
      <c r="B14">
        <f>COUNTA(Problems[JavaScript])</f>
        <v>5</v>
      </c>
      <c r="C14" s="7">
        <f t="shared" si="0"/>
        <v>7.9365079365079361E-2</v>
      </c>
    </row>
    <row r="15" spans="1:5" x14ac:dyDescent="0.2">
      <c r="A15" t="s">
        <v>11</v>
      </c>
      <c r="B15">
        <f>COUNTA(Problems[C])</f>
        <v>4</v>
      </c>
      <c r="C15" s="7">
        <f t="shared" si="0"/>
        <v>6.3492063492063489E-2</v>
      </c>
    </row>
    <row r="16" spans="1:5" x14ac:dyDescent="0.2">
      <c r="A16" t="s">
        <v>12</v>
      </c>
      <c r="B16">
        <f>COUNTA(Problems[Java])</f>
        <v>4</v>
      </c>
      <c r="C16" s="7">
        <f t="shared" si="0"/>
        <v>6.3492063492063489E-2</v>
      </c>
    </row>
    <row r="17" spans="1:3" ht="16" customHeight="1" x14ac:dyDescent="0.2">
      <c r="A17" s="6" t="s">
        <v>851</v>
      </c>
      <c r="B17">
        <f>SUM(B10:B16)</f>
        <v>63</v>
      </c>
      <c r="C17" s="7">
        <f t="shared" si="0"/>
        <v>1</v>
      </c>
    </row>
    <row r="19" spans="1:3" x14ac:dyDescent="0.2">
      <c r="A19" s="6" t="s">
        <v>856</v>
      </c>
      <c r="B19" s="6" t="s">
        <v>851</v>
      </c>
      <c r="C19" s="6" t="s">
        <v>852</v>
      </c>
    </row>
    <row r="20" spans="1:3" x14ac:dyDescent="0.2">
      <c r="A20" t="s">
        <v>857</v>
      </c>
      <c r="B20">
        <f>COUNTA(Problems5[Zsh])</f>
        <v>2</v>
      </c>
      <c r="C20" s="9">
        <f>_xlfn.PERCENTOF(B20, 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G20"/>
  <sheetViews>
    <sheetView workbookViewId="0">
      <selection activeCell="I5" sqref="I5"/>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2026-01-25T20:32:21Z</dcterms:modified>
</cp:coreProperties>
</file>