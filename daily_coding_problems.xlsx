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5564AB48-DBA1-854E-9015-5DD841196A62}" xr6:coauthVersionLast="47" xr6:coauthVersionMax="47" xr10:uidLastSave="{00000000-0000-0000-0000-000000000000}"/>
  <bookViews>
    <workbookView xWindow="0" yWindow="600" windowWidth="38400" windowHeight="2100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<sst xmlns="http://schemas.openxmlformats.org/spreadsheetml/2006/main" count="5446" uniqueCount="856">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</sst>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zoomScale="86" workbookViewId="0">
      <pane ySplit="1" topLeftCell="A140" activePane="bottomLeft" state="frozen"/>
      <selection pane="bottomLeft" activeCell="F150" sqref="F150"/>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82</v>
      </c>
      <c r="J16" s="5">
        <v>46036</v>
      </c>
      <c r="O16">
        <f t="shared" si="0"/>
        <v>1</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L47" s="5">
        <v>46036</v>
      </c>
      <c r="O47">
        <f t="shared" si="0"/>
        <v>3</v>
      </c>
    </row>
    <row r="48" spans="1:15" ht="64"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82</v>
      </c>
      <c r="G50" s="5">
        <v>46039</v>
      </c>
      <c r="O50">
        <f t="shared" si="0"/>
        <v>1</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82</v>
      </c>
      <c r="J53" s="5">
        <v>46040</v>
      </c>
      <c r="O53">
        <f t="shared" si="0"/>
        <v>1</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82</v>
      </c>
      <c r="G81" s="5">
        <v>46038</v>
      </c>
      <c r="O81">
        <f t="shared" si="1"/>
        <v>1</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82</v>
      </c>
      <c r="J149" s="5">
        <v>46041</v>
      </c>
      <c r="O149">
        <f t="shared" si="2"/>
        <v>1</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51"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21</v>
      </c>
      <c r="D3">
        <f>COUNTIFS(Problems!B:B,"Easy",Problems!F:F,"Not Started")</f>
        <v>335</v>
      </c>
      <c r="E3" s="4">
        <f>IF(B3&gt;0,C3/B3,0)</f>
        <v>5.8988764044943819E-2</v>
      </c>
    </row>
    <row r="4" spans="1:5" x14ac:dyDescent="0.2">
      <c r="A4" t="s">
        <v>20</v>
      </c>
      <c r="B4">
        <f>COUNTIF(Problems!B:B,"Medium")</f>
        <v>446</v>
      </c>
      <c r="C4">
        <f>COUNTIFS(Problems!B:B,"Medium",Problems!F:F,"Solved")</f>
        <v>3</v>
      </c>
      <c r="D4">
        <f>COUNTIFS(Problems!B:B,"Medium",Problems!F:F,"Not Started")</f>
        <v>443</v>
      </c>
      <c r="E4" s="4">
        <f>IF(B4&gt;0,C4/B4,0)</f>
        <v>6.7264573991031393E-3</v>
      </c>
    </row>
    <row r="5" spans="1:5" x14ac:dyDescent="0.2">
      <c r="A5" t="s">
        <v>15</v>
      </c>
      <c r="B5">
        <f>COUNTIF(Problems!B:B,"Hard")</f>
        <v>281</v>
      </c>
      <c r="C5">
        <f>COUNTIFS(Problems!B:B,"Hard",Problems!F:F,"Solved")</f>
        <v>1</v>
      </c>
      <c r="D5">
        <f>COUNTIFS(Problems!B:B,"Hard",Problems!F:F,"Not Started")</f>
        <v>280</v>
      </c>
      <c r="E5" s="4">
        <f>IF(B5&gt;0,C5/B5,0)</f>
        <v>3.5587188612099642E-3</v>
      </c>
    </row>
    <row r="6" spans="1:5" x14ac:dyDescent="0.2">
      <c r="A6" s="2" t="s">
        <v>854</v>
      </c>
      <c r="B6">
        <f>SUM(B3:B5)</f>
        <v>1083</v>
      </c>
      <c r="C6">
        <f>SUM(C3:C5)</f>
        <v>25</v>
      </c>
      <c r="D6">
        <f>SUM(D3:D5)</f>
        <v>1058</v>
      </c>
      <c r="E6" s="4">
        <f>IF(B6&gt;0,C6/B6,0)</f>
        <v>2.3084025854108958E-2</v>
      </c>
    </row>
    <row r="8" spans="1:5" ht="16" customHeight="1" x14ac:dyDescent="0.2"/>
    <row r="9" spans="1:5" x14ac:dyDescent="0.2">
      <c r="A9" s="6" t="s">
        <v>855</v>
      </c>
      <c r="B9" s="6" t="s">
        <v>852</v>
      </c>
      <c r="C9" s="6" t="s">
        <v>853</v>
      </c>
    </row>
    <row r="10" spans="1:5" x14ac:dyDescent="0.2">
      <c r="A10" t="s">
        <v>6</v>
      </c>
      <c r="B10">
        <f>COUNTA(Problems[Python])</f>
        <v>16</v>
      </c>
      <c r="C10" s="7">
        <f t="shared" ref="C10:C18" si="0">B10/$B$18</f>
        <v>0.2807017543859649</v>
      </c>
    </row>
    <row r="11" spans="1:5" x14ac:dyDescent="0.2">
      <c r="A11" t="s">
        <v>10</v>
      </c>
      <c r="B11">
        <f>COUNTA(Problems[C++])</f>
        <v>4</v>
      </c>
      <c r="C11" s="7">
        <f t="shared" si="0"/>
        <v>7.0175438596491224E-2</v>
      </c>
    </row>
    <row r="12" spans="1:5" x14ac:dyDescent="0.2">
      <c r="A12" t="s">
        <v>9</v>
      </c>
      <c r="B12">
        <f>COUNTA(Problems[Rust])</f>
        <v>23</v>
      </c>
      <c r="C12" s="7">
        <f t="shared" si="0"/>
        <v>0.40350877192982454</v>
      </c>
    </row>
    <row r="13" spans="1:5" x14ac:dyDescent="0.2">
      <c r="A13" t="s">
        <v>8</v>
      </c>
      <c r="B13">
        <f>COUNTA(Problems[TypeScript])</f>
        <v>3</v>
      </c>
      <c r="C13" s="7">
        <f t="shared" si="0"/>
        <v>5.2631578947368418E-2</v>
      </c>
    </row>
    <row r="14" spans="1:5" x14ac:dyDescent="0.2">
      <c r="A14" t="s">
        <v>7</v>
      </c>
      <c r="B14">
        <f>COUNTA(Problems[JavaScript])</f>
        <v>5</v>
      </c>
      <c r="C14" s="7">
        <f t="shared" si="0"/>
        <v>8.771929824561403E-2</v>
      </c>
    </row>
    <row r="15" spans="1:5" x14ac:dyDescent="0.2">
      <c r="A15" t="s">
        <v>13</v>
      </c>
      <c r="B15">
        <f>COUNTA(Problems[Bash])</f>
        <v>1</v>
      </c>
      <c r="C15" s="7">
        <f t="shared" si="0"/>
        <v>1.7543859649122806E-2</v>
      </c>
    </row>
    <row r="16" spans="1:5" x14ac:dyDescent="0.2">
      <c r="A16" t="s">
        <v>11</v>
      </c>
      <c r="B16">
        <f>COUNTA(Problems[C])</f>
        <v>3</v>
      </c>
      <c r="C16" s="7">
        <f t="shared" si="0"/>
        <v>5.2631578947368418E-2</v>
      </c>
    </row>
    <row r="17" spans="1:3" ht="16" customHeight="1" x14ac:dyDescent="0.2">
      <c r="A17" t="s">
        <v>12</v>
      </c>
      <c r="B17">
        <f>COUNTA(Problems[Java])</f>
        <v>2</v>
      </c>
      <c r="C17" s="7">
        <f t="shared" si="0"/>
        <v>3.5087719298245612E-2</v>
      </c>
    </row>
    <row r="18" spans="1:3" x14ac:dyDescent="0.2">
      <c r="A18" s="6" t="s">
        <v>852</v>
      </c>
      <c r="B18">
        <f>SUM(B10:B17)</f>
        <v>57</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2026-01-19T08:21:36Z</dcterms:modified>
</cp:coreProperties>
</file>